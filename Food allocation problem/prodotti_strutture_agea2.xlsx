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trutture Caritative"/>
    <sheet r:id="rId2" sheetId="2" name="prodotti"/>
    <sheet r:id="rId3" sheetId="3" name="strutture_caritative_uno"/>
  </sheets>
  <calcPr fullCalcOnLoad="1"/>
</workbook>
</file>

<file path=xl/sharedStrings.xml><?xml version="1.0" encoding="utf-8"?>
<sst xmlns="http://schemas.openxmlformats.org/spreadsheetml/2006/main" count="1351" uniqueCount="215">
  <si>
    <t>Codice Appuntamento</t>
  </si>
  <si>
    <t>Data appuntamento</t>
  </si>
  <si>
    <t>Ora appuntamento</t>
  </si>
  <si>
    <t>Codice struttura</t>
  </si>
  <si>
    <t>Numero Assistiti</t>
  </si>
  <si>
    <t>Infanzia</t>
  </si>
  <si>
    <t>Freschi</t>
  </si>
  <si>
    <t>Vincoli</t>
  </si>
  <si>
    <t>X</t>
  </si>
  <si>
    <t>A01300A A02100A A02101A A02102A A02103A C02300A D01300A E02305A G01300A I01300A I02300A I03301A I03302A</t>
  </si>
  <si>
    <t>A01201A A02100A A02101A A02102A A02103A E03301A E03302A F01301A F01302A G01300A</t>
  </si>
  <si>
    <t>C02300A I01300A I02300A I03301A I03302A</t>
  </si>
  <si>
    <t>C02300A I01300A I02300A I03300A I03301A I03302A</t>
  </si>
  <si>
    <t>E01305A E03305A E04305A</t>
  </si>
  <si>
    <t>E01303A</t>
  </si>
  <si>
    <t>E06301A</t>
  </si>
  <si>
    <t>D02300A F01301A F01302A F02300A G01300A I01300A</t>
  </si>
  <si>
    <t>C02300A E06301A I01300A I02300A I03300A I03301A I03302A</t>
  </si>
  <si>
    <t>A01201A</t>
  </si>
  <si>
    <t>A01201A A02100A A02101A A02102A A02103A C02300A C06101A C06102A C06104A C06106A C07101A C07102A C08100A I01300A I02300A I03301A I03302A</t>
  </si>
  <si>
    <t>I01300A I02300A I03301A</t>
  </si>
  <si>
    <t>A01201A A02100A A02101A A02102A A02103A</t>
  </si>
  <si>
    <t>Codice Prodotto</t>
  </si>
  <si>
    <t>Nome Prodotto</t>
  </si>
  <si>
    <t>Partita</t>
  </si>
  <si>
    <t>Data entrata</t>
  </si>
  <si>
    <t>Data di scadenza</t>
  </si>
  <si>
    <t>Settore Merceologico</t>
  </si>
  <si>
    <t>Campagna AGEA</t>
  </si>
  <si>
    <t>Quantità in colli</t>
  </si>
  <si>
    <t>Colli a pancale</t>
  </si>
  <si>
    <t>Colli a piano</t>
  </si>
  <si>
    <t>Pancali</t>
  </si>
  <si>
    <t>Peso a collo (kg)</t>
  </si>
  <si>
    <t>Calorie (Kcal)</t>
  </si>
  <si>
    <t>Carboidrati (g)</t>
  </si>
  <si>
    <t>Proteine (g)</t>
  </si>
  <si>
    <t>Grassi (g)</t>
  </si>
  <si>
    <t>Zuccheri (g)</t>
  </si>
  <si>
    <t>Grassi saturi (g)</t>
  </si>
  <si>
    <t>Priorita</t>
  </si>
  <si>
    <t>Corsia 4</t>
  </si>
  <si>
    <t>A01300A</t>
  </si>
  <si>
    <t>Carne in gelatina</t>
  </si>
  <si>
    <t>0008451985</t>
  </si>
  <si>
    <t>28/07/2025</t>
  </si>
  <si>
    <t>AG</t>
  </si>
  <si>
    <t>FN+</t>
  </si>
  <si>
    <t>0008451984</t>
  </si>
  <si>
    <t>28/07/2027</t>
  </si>
  <si>
    <t>0008451987</t>
  </si>
  <si>
    <t>28/07/2028</t>
  </si>
  <si>
    <t>0008451988</t>
  </si>
  <si>
    <t>28/07/2029</t>
  </si>
  <si>
    <t>C01300A</t>
  </si>
  <si>
    <t>Latte UHT parz. Screm.</t>
  </si>
  <si>
    <t>0008343648</t>
  </si>
  <si>
    <t>03/07/2025</t>
  </si>
  <si>
    <t>FSE</t>
  </si>
  <si>
    <t>0008343649</t>
  </si>
  <si>
    <t>0008344557</t>
  </si>
  <si>
    <t>08/08/2025</t>
  </si>
  <si>
    <t>0008363790</t>
  </si>
  <si>
    <t>10/07/2025</t>
  </si>
  <si>
    <t>0008363791</t>
  </si>
  <si>
    <t>0008382784</t>
  </si>
  <si>
    <t>16/07/2025</t>
  </si>
  <si>
    <t>0008434134</t>
  </si>
  <si>
    <t>23/07/2025</t>
  </si>
  <si>
    <t>0008434135</t>
  </si>
  <si>
    <t>0008458763</t>
  </si>
  <si>
    <t>30/07/2025</t>
  </si>
  <si>
    <t>0008459405</t>
  </si>
  <si>
    <t>D02300A</t>
  </si>
  <si>
    <t>Legumi</t>
  </si>
  <si>
    <t>0008149324</t>
  </si>
  <si>
    <t>07/05/2025</t>
  </si>
  <si>
    <t>0008207508</t>
  </si>
  <si>
    <t>21/05/2025</t>
  </si>
  <si>
    <t>0008255679</t>
  </si>
  <si>
    <t>05/06/2025</t>
  </si>
  <si>
    <t>0008274353</t>
  </si>
  <si>
    <t>11/06/2025</t>
  </si>
  <si>
    <t>D03301A</t>
  </si>
  <si>
    <t>Polpa di pomodoro</t>
  </si>
  <si>
    <t>0008316259</t>
  </si>
  <si>
    <t>25/06/2025</t>
  </si>
  <si>
    <t>0008323618</t>
  </si>
  <si>
    <t>01/07/2025</t>
  </si>
  <si>
    <t>E02301A</t>
  </si>
  <si>
    <t>Riso</t>
  </si>
  <si>
    <t>0008360147</t>
  </si>
  <si>
    <t>09/07/2025</t>
  </si>
  <si>
    <t>0008360148</t>
  </si>
  <si>
    <t>0008360149</t>
  </si>
  <si>
    <t>0008363785</t>
  </si>
  <si>
    <t>0008363787</t>
  </si>
  <si>
    <t>0008363788</t>
  </si>
  <si>
    <t>0008363789</t>
  </si>
  <si>
    <t>0008382765</t>
  </si>
  <si>
    <t>15/07/2025</t>
  </si>
  <si>
    <t>0008382766</t>
  </si>
  <si>
    <t>0008382767</t>
  </si>
  <si>
    <t>0008382768</t>
  </si>
  <si>
    <t>0008382781</t>
  </si>
  <si>
    <t>0008382782</t>
  </si>
  <si>
    <t>0008382783</t>
  </si>
  <si>
    <t>0008419328</t>
  </si>
  <si>
    <t>18/07/2025</t>
  </si>
  <si>
    <t>0008419330</t>
  </si>
  <si>
    <t>0008419329</t>
  </si>
  <si>
    <t>0008419331</t>
  </si>
  <si>
    <t>0008419332</t>
  </si>
  <si>
    <t>0008451989</t>
  </si>
  <si>
    <t>0008451990</t>
  </si>
  <si>
    <t>E03301A</t>
  </si>
  <si>
    <t>Fette Biscottate</t>
  </si>
  <si>
    <t>0008274354</t>
  </si>
  <si>
    <t>27/05/2025</t>
  </si>
  <si>
    <t>0008274355</t>
  </si>
  <si>
    <t>0008315717</t>
  </si>
  <si>
    <t>19/06/2025</t>
  </si>
  <si>
    <t>0008316234</t>
  </si>
  <si>
    <t>26/06/2025</t>
  </si>
  <si>
    <t>0008375128</t>
  </si>
  <si>
    <t>14/07/2025</t>
  </si>
  <si>
    <t>E04300A</t>
  </si>
  <si>
    <t>Biscotti</t>
  </si>
  <si>
    <t>0008305475</t>
  </si>
  <si>
    <t>17/06/2025</t>
  </si>
  <si>
    <t>0008305476</t>
  </si>
  <si>
    <t>0008316133</t>
  </si>
  <si>
    <t>20/06/2025</t>
  </si>
  <si>
    <t>F01302A</t>
  </si>
  <si>
    <t>Confettura</t>
  </si>
  <si>
    <t>0008344553</t>
  </si>
  <si>
    <t>07/07/2025</t>
  </si>
  <si>
    <t>0008344554</t>
  </si>
  <si>
    <t>0008344556</t>
  </si>
  <si>
    <t>0008345706</t>
  </si>
  <si>
    <t>0008345707</t>
  </si>
  <si>
    <t>0008345708</t>
  </si>
  <si>
    <t>0008394851</t>
  </si>
  <si>
    <t>0008394852</t>
  </si>
  <si>
    <t>0008394853</t>
  </si>
  <si>
    <t>I03302A</t>
  </si>
  <si>
    <t>Pastina</t>
  </si>
  <si>
    <t>0008322683</t>
  </si>
  <si>
    <t>0008322684</t>
  </si>
  <si>
    <t>0008394902</t>
  </si>
  <si>
    <t>0008394903</t>
  </si>
  <si>
    <t>0008394904</t>
  </si>
  <si>
    <t>0008394905</t>
  </si>
  <si>
    <t>J01301A</t>
  </si>
  <si>
    <t>Zucchero</t>
  </si>
  <si>
    <t>0008050726</t>
  </si>
  <si>
    <t>10/04/2025</t>
  </si>
  <si>
    <t>0008130250</t>
  </si>
  <si>
    <t>29/04/2025</t>
  </si>
  <si>
    <t>Codice appuntamento</t>
  </si>
  <si>
    <t>Data Appuntamento</t>
  </si>
  <si>
    <t>Ora Appuntamento</t>
  </si>
  <si>
    <t>Numero assistiti</t>
  </si>
  <si>
    <t>C02300A</t>
  </si>
  <si>
    <t>E01300A</t>
  </si>
  <si>
    <t>E01301A</t>
  </si>
  <si>
    <t>E01302A</t>
  </si>
  <si>
    <t>F01301A</t>
  </si>
  <si>
    <t>G01300A</t>
  </si>
  <si>
    <t>I01300A</t>
  </si>
  <si>
    <t>I02300A</t>
  </si>
  <si>
    <t>I03301A</t>
  </si>
  <si>
    <t>C02300A D02300A E01300A E01301A E01302A E01303A E04300A E06301A F01301A F01302A G01300A I01300A I02300A I03301A I03302A</t>
  </si>
  <si>
    <t>B01200A</t>
  </si>
  <si>
    <t>A01201A B01200A</t>
  </si>
  <si>
    <t>I03300A</t>
  </si>
  <si>
    <t>A02100A</t>
  </si>
  <si>
    <t>A02101A</t>
  </si>
  <si>
    <t>A02102A</t>
  </si>
  <si>
    <t>A02103A</t>
  </si>
  <si>
    <t>A02100A A02101A A02102A A02103A</t>
  </si>
  <si>
    <t>A01201A A02100A A02101A A02102A A02103A B01200A C02300A I01300A I02300A I03300A I03301A I03302A</t>
  </si>
  <si>
    <t>D01300A</t>
  </si>
  <si>
    <t>E02305A</t>
  </si>
  <si>
    <t>E03302A</t>
  </si>
  <si>
    <t>E01305A</t>
  </si>
  <si>
    <t>E03305A</t>
  </si>
  <si>
    <t>E04305A</t>
  </si>
  <si>
    <t>F02300A</t>
  </si>
  <si>
    <t>C06101A</t>
  </si>
  <si>
    <t>C06102A</t>
  </si>
  <si>
    <t>C06104A</t>
  </si>
  <si>
    <t>C06106A</t>
  </si>
  <si>
    <t>C07101A</t>
  </si>
  <si>
    <t>C07102A</t>
  </si>
  <si>
    <t>C08100A</t>
  </si>
  <si>
    <t>I01300A I02300A I03301A I03302A</t>
  </si>
  <si>
    <t>G01300A I03300A</t>
  </si>
  <si>
    <t>F01302A G01300A</t>
  </si>
  <si>
    <t>C02300A E06301A I01300A I02300A I03301A I03302A</t>
  </si>
  <si>
    <t>C02300A E01305A E03305A E04305A F01301A F01302A G01300A I01300A I02300A I03300A I03301A I03302A</t>
  </si>
  <si>
    <t>A01201A C02300A I01300A I02300A I03300A I03301A I03302A</t>
  </si>
  <si>
    <t>A01201A G01300A</t>
  </si>
  <si>
    <t>A02106A</t>
  </si>
  <si>
    <t>A02108A</t>
  </si>
  <si>
    <t>A02100A A02101A A02102A A02103A A02106A A02108A C06101A C06102A C06104A C06106A C07101A C07102A C08100A</t>
  </si>
  <si>
    <t>F01300A</t>
  </si>
  <si>
    <t>A02100A A02101A A02102A A02103A A02106A A02108A C06101A C06102A C06104A C06106A C07101A C07102A C08100A F01300A F01302A I01300A I02300A I03301A I03302A</t>
  </si>
  <si>
    <t>A02100A A02101A A02102A A02103A C02300A I01300A I02300A I03301A I03302A</t>
  </si>
  <si>
    <t>A02100A A02101A A02102A A02103A C02300A C06101A C06102A C06104A C06106A C07101A C07102A C08100A I01300A I02300A I03300A I03301A I03302A</t>
  </si>
  <si>
    <t>A01201A C02300A E01300A E01301A E01302A E01303A I01300A I02300A I03300A I03301A I03302A</t>
  </si>
  <si>
    <t>B01200A C02300A I01300A I02300A I03300A I03301A I03302A</t>
  </si>
  <si>
    <t>A01201A A02100A A02101A A02102A A02103A A02106A A02108A C06101A C06102A C06104A C06106A C07101A C07102A C08100A</t>
  </si>
  <si>
    <t>C02300A I01300A I03301A I03302A</t>
  </si>
  <si>
    <t>C02300A E01300A E01301A E01302A E01303A I01300A I02300A I03300A I03301A I03302A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</si>
</sst>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5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2" applyBorder="1" fontId="3" applyFont="1" fillId="2" applyFill="1" applyAlignment="1">
      <alignment horizontal="left"/>
    </xf>
    <xf xfId="0" numFmtId="14" applyNumberFormat="1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9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419"/>
  <sheetViews>
    <sheetView workbookViewId="0"/>
  </sheetViews>
  <sheetFormatPr defaultRowHeight="15" x14ac:dyDescent="0.25"/>
  <cols>
    <col min="1" max="1" style="20" width="19.719285714285714" customWidth="1" bestFit="1"/>
    <col min="2" max="2" style="21" width="17.862142857142857" customWidth="1" bestFit="1"/>
    <col min="3" max="3" style="22" width="16.862142857142857" customWidth="1" bestFit="1"/>
    <col min="4" max="4" style="20" width="14.576428571428572" customWidth="1" bestFit="1"/>
    <col min="5" max="5" style="23" width="14.719285714285713" customWidth="1" bestFit="1"/>
    <col min="6" max="6" style="24" width="7.2907142857142855" customWidth="1" bestFit="1"/>
    <col min="7" max="7" style="24" width="7.147857142857143" customWidth="1" bestFit="1"/>
    <col min="8" max="8" style="24" width="10.147857142857141" customWidth="1" bestFit="1"/>
    <col min="9" max="9" style="24" width="10.147857142857141" customWidth="1" bestFit="1"/>
    <col min="10" max="10" style="24" width="10.147857142857141" customWidth="1" bestFit="1"/>
    <col min="11" max="11" style="24" width="10.147857142857141" customWidth="1" bestFit="1"/>
    <col min="12" max="12" style="24" width="10.147857142857141" customWidth="1" bestFit="1"/>
    <col min="13" max="13" style="24" width="10.147857142857141" customWidth="1" bestFit="1"/>
    <col min="14" max="14" style="24" width="10.147857142857141" customWidth="1" bestFit="1"/>
    <col min="15" max="15" style="24" width="10.147857142857141" customWidth="1" bestFit="1"/>
    <col min="16" max="16" style="24" width="9.862142857142858" customWidth="1" bestFit="1"/>
    <col min="17" max="17" style="24" width="9.862142857142858" customWidth="1" bestFit="1"/>
    <col min="18" max="18" style="24" width="9.862142857142858" customWidth="1" bestFit="1"/>
    <col min="19" max="19" style="24" width="9.719285714285713" customWidth="1" bestFit="1"/>
    <col min="20" max="20" style="24" width="9.719285714285713" customWidth="1" bestFit="1"/>
    <col min="21" max="21" style="24" width="9.719285714285713" customWidth="1" bestFit="1"/>
    <col min="22" max="22" style="24" width="9.43357142857143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9.147857142857141" customWidth="1" bestFit="1"/>
    <col min="27" max="27" style="24" width="173.71928571428572" customWidth="1" bestFit="1"/>
    <col min="28" max="28" style="24" width="13.576428571428572" customWidth="1" bestFit="1"/>
    <col min="29" max="29" style="24" width="13.576428571428572" customWidth="1" bestFit="1"/>
    <col min="30" max="30" style="24" width="13.576428571428572" customWidth="1" bestFit="1"/>
    <col min="31" max="31" style="24" width="13.576428571428572" customWidth="1" bestFit="1"/>
    <col min="32" max="32" style="24" width="13.576428571428572" customWidth="1" bestFit="1"/>
    <col min="33" max="33" style="24" width="13.576428571428572" customWidth="1" bestFit="1"/>
    <col min="34" max="34" style="24" width="13.576428571428572" customWidth="1" bestFit="1"/>
    <col min="35" max="35" style="24" width="13.576428571428572" customWidth="1" bestFit="1"/>
    <col min="36" max="36" style="24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4" width="13.576428571428572" customWidth="1" bestFit="1"/>
    <col min="40" max="40" style="24" width="13.576428571428572" customWidth="1" bestFit="1"/>
  </cols>
  <sheetData>
    <row x14ac:dyDescent="0.25" r="1" customHeight="1" ht="18.75">
      <c r="A1" s="1" t="s">
        <v>159</v>
      </c>
      <c r="B1" s="2" t="s">
        <v>160</v>
      </c>
      <c r="C1" s="3" t="s">
        <v>161</v>
      </c>
      <c r="D1" s="1" t="s">
        <v>3</v>
      </c>
      <c r="E1" s="4" t="s">
        <v>162</v>
      </c>
      <c r="F1" s="5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x14ac:dyDescent="0.25" r="2" customHeight="1" ht="18.75">
      <c r="A2" s="7">
        <v>101242421</v>
      </c>
      <c r="B2" s="8">
        <v>45894</v>
      </c>
      <c r="C2" s="9">
        <v>5.361111111111111</v>
      </c>
      <c r="D2" s="7">
        <v>102175</v>
      </c>
      <c r="E2" s="10">
        <v>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9">
        <f>IFERROR(INDEX(#REF!,MATCH($D2,#REF!,"")),"")</f>
      </c>
      <c r="AL2" s="19">
        <f>IFERROR(INDEX(#REF!,MATCH($D2,#REF!,"")),"")</f>
      </c>
      <c r="AM2" s="19">
        <f>IFERROR(INDEX(#REF!,MATCH($D2,#REF!,"")),"")</f>
      </c>
      <c r="AN2" s="19">
        <f>IFERROR(INDEX(#REF!,MATCH($D2,#REF!,0)),"")</f>
      </c>
    </row>
    <row x14ac:dyDescent="0.25" r="3" customHeight="1" ht="18.75">
      <c r="A3" s="7">
        <v>101242435</v>
      </c>
      <c r="B3" s="8">
        <v>45894</v>
      </c>
      <c r="C3" s="9">
        <v>5.361111111111111</v>
      </c>
      <c r="D3" s="7">
        <v>102568</v>
      </c>
      <c r="E3" s="10">
        <v>358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19">
        <f>IFERROR(INDEX(#REF!,MATCH($D3,#REF!,"")),"")</f>
      </c>
      <c r="AL3" s="19">
        <f>IFERROR(INDEX(#REF!,MATCH($D3,#REF!,"")),"")</f>
      </c>
      <c r="AM3" s="19">
        <f>IFERROR(INDEX(#REF!,MATCH($D3,#REF!,"")),"")</f>
      </c>
      <c r="AN3" s="19">
        <f>IFERROR(INDEX(#REF!,MATCH($D3,#REF!,0)),"")</f>
      </c>
    </row>
    <row x14ac:dyDescent="0.25" r="4" customHeight="1" ht="18.75">
      <c r="A4" s="7">
        <v>101242422</v>
      </c>
      <c r="B4" s="8">
        <v>45894</v>
      </c>
      <c r="C4" s="9">
        <v>5.368055555555555</v>
      </c>
      <c r="D4" s="7">
        <v>102651</v>
      </c>
      <c r="E4" s="10">
        <v>961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19">
        <f>IFERROR(INDEX(#REF!,MATCH($D4,#REF!,"")),"")</f>
      </c>
      <c r="AL4" s="19">
        <f>IFERROR(INDEX(#REF!,MATCH($D4,#REF!,"")),"")</f>
      </c>
      <c r="AM4" s="19">
        <f>IFERROR(INDEX(#REF!,MATCH($D4,#REF!,"")),"")</f>
      </c>
      <c r="AN4" s="19">
        <f>IFERROR(INDEX(#REF!,MATCH($D4,#REF!,0)),"")</f>
      </c>
    </row>
    <row x14ac:dyDescent="0.25" r="5" customHeight="1" ht="18.75">
      <c r="A5" s="7">
        <v>101242423</v>
      </c>
      <c r="B5" s="8">
        <v>45894</v>
      </c>
      <c r="C5" s="9">
        <v>5.375</v>
      </c>
      <c r="D5" s="7">
        <v>102652</v>
      </c>
      <c r="E5" s="10">
        <v>392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19">
        <f>IFERROR(INDEX(#REF!,MATCH($D5,#REF!,"")),"")</f>
      </c>
      <c r="AL5" s="19">
        <f>IFERROR(INDEX(#REF!,MATCH($D5,#REF!,"")),"")</f>
      </c>
      <c r="AM5" s="19">
        <f>IFERROR(INDEX(#REF!,MATCH($D5,#REF!,"")),"")</f>
      </c>
      <c r="AN5" s="19">
        <f>IFERROR(INDEX(#REF!,MATCH($D5,#REF!,0)),"")</f>
      </c>
    </row>
    <row x14ac:dyDescent="0.25" r="6" customHeight="1" ht="18.75">
      <c r="A6" s="7">
        <v>101242894</v>
      </c>
      <c r="B6" s="8">
        <v>45894</v>
      </c>
      <c r="C6" s="9">
        <v>5.388888888888889</v>
      </c>
      <c r="D6" s="7">
        <v>102725</v>
      </c>
      <c r="E6" s="10">
        <v>441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19">
        <f>IFERROR(INDEX(#REF!,MATCH($D6,#REF!,"")),"")</f>
      </c>
      <c r="AL6" s="19">
        <f>IFERROR(INDEX(#REF!,MATCH($D6,#REF!,"")),"")</f>
      </c>
      <c r="AM6" s="19">
        <f>IFERROR(INDEX(#REF!,MATCH($D6,#REF!,"")),"")</f>
      </c>
      <c r="AN6" s="19">
        <f>IFERROR(INDEX(#REF!,MATCH($D6,#REF!,0)),"")</f>
      </c>
    </row>
    <row x14ac:dyDescent="0.25" r="7" customHeight="1" ht="18.75">
      <c r="A7" s="7">
        <v>101242433</v>
      </c>
      <c r="B7" s="8">
        <v>45894</v>
      </c>
      <c r="C7" s="9">
        <v>5.451388888888889</v>
      </c>
      <c r="D7" s="7">
        <v>102714</v>
      </c>
      <c r="E7" s="10">
        <v>416</v>
      </c>
      <c r="F7" s="6" t="s">
        <v>8</v>
      </c>
      <c r="G7" s="6" t="s">
        <v>8</v>
      </c>
      <c r="H7" s="6" t="s">
        <v>163</v>
      </c>
      <c r="I7" s="6" t="s">
        <v>73</v>
      </c>
      <c r="J7" s="6" t="s">
        <v>164</v>
      </c>
      <c r="K7" s="6" t="s">
        <v>165</v>
      </c>
      <c r="L7" s="6" t="s">
        <v>166</v>
      </c>
      <c r="M7" s="6" t="s">
        <v>14</v>
      </c>
      <c r="N7" s="6" t="s">
        <v>126</v>
      </c>
      <c r="O7" s="6" t="s">
        <v>15</v>
      </c>
      <c r="P7" s="6" t="s">
        <v>167</v>
      </c>
      <c r="Q7" s="6" t="s">
        <v>133</v>
      </c>
      <c r="R7" s="6" t="s">
        <v>168</v>
      </c>
      <c r="S7" s="6" t="s">
        <v>169</v>
      </c>
      <c r="T7" s="6" t="s">
        <v>170</v>
      </c>
      <c r="U7" s="6" t="s">
        <v>171</v>
      </c>
      <c r="V7" s="6" t="s">
        <v>145</v>
      </c>
      <c r="W7" s="6"/>
      <c r="X7" s="6"/>
      <c r="Y7" s="6"/>
      <c r="Z7" s="6"/>
      <c r="AA7" s="6" t="s">
        <v>172</v>
      </c>
      <c r="AB7" s="6"/>
      <c r="AC7" s="6"/>
      <c r="AD7" s="6"/>
      <c r="AE7" s="6"/>
      <c r="AF7" s="6"/>
      <c r="AG7" s="6"/>
      <c r="AH7" s="6"/>
      <c r="AI7" s="6"/>
      <c r="AJ7" s="6"/>
      <c r="AK7" s="19">
        <f>IFERROR(INDEX(#REF!,MATCH($D7,#REF!,"")),"")</f>
      </c>
      <c r="AL7" s="19">
        <f>IFERROR(INDEX(#REF!,MATCH($D7,#REF!,"")),"")</f>
      </c>
      <c r="AM7" s="19">
        <f>IFERROR(INDEX(#REF!,MATCH($D7,#REF!,"")),"")</f>
      </c>
      <c r="AN7" s="19">
        <f>IFERROR(INDEX(#REF!,MATCH($D7,#REF!,0)),"")</f>
      </c>
    </row>
    <row x14ac:dyDescent="0.25" r="8" customHeight="1" ht="18.75">
      <c r="A8" s="11">
        <v>111241312</v>
      </c>
      <c r="B8" s="8">
        <v>45894</v>
      </c>
      <c r="C8" s="9">
        <v>5.381944444444445</v>
      </c>
      <c r="D8" s="11">
        <v>109864</v>
      </c>
      <c r="E8" s="10">
        <v>551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19">
        <f>IFERROR(INDEX(#REF!,MATCH($D8,#REF!,"")),"")</f>
      </c>
      <c r="AL8" s="19">
        <f>IFERROR(INDEX(#REF!,MATCH($D8,#REF!,"")),"")</f>
      </c>
      <c r="AM8" s="19">
        <f>IFERROR(INDEX(#REF!,MATCH($D8,#REF!,"")),"")</f>
      </c>
      <c r="AN8" s="19">
        <f>IFERROR(INDEX(#REF!,MATCH($D8,#REF!,0)),"")</f>
      </c>
    </row>
    <row x14ac:dyDescent="0.25" r="9" customHeight="1" ht="18.75">
      <c r="A9" s="7">
        <v>101242650</v>
      </c>
      <c r="B9" s="8">
        <v>45895</v>
      </c>
      <c r="C9" s="9">
        <v>5.361111111111111</v>
      </c>
      <c r="D9" s="7">
        <v>102711</v>
      </c>
      <c r="E9" s="10">
        <v>149</v>
      </c>
      <c r="F9" s="6"/>
      <c r="G9" s="6"/>
      <c r="H9" s="6" t="s">
        <v>18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18</v>
      </c>
      <c r="AB9" s="6"/>
      <c r="AC9" s="6"/>
      <c r="AD9" s="6"/>
      <c r="AE9" s="6"/>
      <c r="AF9" s="6"/>
      <c r="AG9" s="6"/>
      <c r="AH9" s="6"/>
      <c r="AI9" s="6"/>
      <c r="AJ9" s="6"/>
      <c r="AK9" s="19">
        <f>IFERROR(INDEX(#REF!,MATCH($D9,#REF!,"")),"")</f>
      </c>
      <c r="AL9" s="19">
        <f>IFERROR(INDEX(#REF!,MATCH($D9,#REF!,"")),"")</f>
      </c>
      <c r="AM9" s="19">
        <f>IFERROR(INDEX(#REF!,MATCH($D9,#REF!,"")),"")</f>
      </c>
      <c r="AN9" s="19">
        <f>IFERROR(INDEX(#REF!,MATCH($D9,#REF!,0)),"")</f>
      </c>
    </row>
    <row x14ac:dyDescent="0.25" r="10" customHeight="1" ht="18.75">
      <c r="A10" s="7">
        <v>101242656</v>
      </c>
      <c r="B10" s="8">
        <v>45895</v>
      </c>
      <c r="C10" s="9">
        <v>5.402777777777778</v>
      </c>
      <c r="D10" s="7">
        <v>119201</v>
      </c>
      <c r="E10" s="10">
        <v>180</v>
      </c>
      <c r="F10" s="6"/>
      <c r="G10" s="6"/>
      <c r="H10" s="6" t="s">
        <v>18</v>
      </c>
      <c r="I10" s="6" t="s">
        <v>173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174</v>
      </c>
      <c r="AB10" s="6"/>
      <c r="AC10" s="6"/>
      <c r="AD10" s="6"/>
      <c r="AE10" s="6"/>
      <c r="AF10" s="6"/>
      <c r="AG10" s="6"/>
      <c r="AH10" s="6"/>
      <c r="AI10" s="6"/>
      <c r="AJ10" s="6"/>
      <c r="AK10" s="19">
        <f>IFERROR(INDEX(#REF!,MATCH($D10,#REF!,"")),"")</f>
      </c>
      <c r="AL10" s="19">
        <f>IFERROR(INDEX(#REF!,MATCH($D10,#REF!,"")),"")</f>
      </c>
      <c r="AM10" s="19">
        <f>IFERROR(INDEX(#REF!,MATCH($D10,#REF!,"")),"")</f>
      </c>
      <c r="AN10" s="19">
        <f>IFERROR(INDEX(#REF!,MATCH($D10,#REF!,0)),"")</f>
      </c>
    </row>
    <row x14ac:dyDescent="0.25" r="11" customHeight="1" ht="18.75">
      <c r="A11" s="7">
        <v>101242657</v>
      </c>
      <c r="B11" s="8">
        <v>45895</v>
      </c>
      <c r="C11" s="9">
        <v>5.409722222222222</v>
      </c>
      <c r="D11" s="7">
        <v>102544</v>
      </c>
      <c r="E11" s="10">
        <v>165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19">
        <f>IFERROR(INDEX(#REF!,MATCH($D11,#REF!,"")),"")</f>
      </c>
      <c r="AL11" s="19">
        <f>IFERROR(INDEX(#REF!,MATCH($D11,#REF!,"")),"")</f>
      </c>
      <c r="AM11" s="19">
        <f>IFERROR(INDEX(#REF!,MATCH($D11,#REF!,"")),"")</f>
      </c>
      <c r="AN11" s="19">
        <f>IFERROR(INDEX(#REF!,MATCH($D11,#REF!,0)),"")</f>
      </c>
    </row>
    <row x14ac:dyDescent="0.25" r="12" customHeight="1" ht="18.75">
      <c r="A12" s="7">
        <v>101242659</v>
      </c>
      <c r="B12" s="8">
        <v>45895</v>
      </c>
      <c r="C12" s="9">
        <v>5.423611111111111</v>
      </c>
      <c r="D12" s="7">
        <v>102564</v>
      </c>
      <c r="E12" s="10">
        <v>557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19">
        <f>IFERROR(INDEX(#REF!,MATCH($D12,#REF!,"")),"")</f>
      </c>
      <c r="AL12" s="19">
        <f>IFERROR(INDEX(#REF!,MATCH($D12,#REF!,"")),"")</f>
      </c>
      <c r="AM12" s="19">
        <f>IFERROR(INDEX(#REF!,MATCH($D12,#REF!,"")),"")</f>
      </c>
      <c r="AN12" s="19">
        <f>IFERROR(INDEX(#REF!,MATCH($D12,#REF!,0)),"")</f>
      </c>
    </row>
    <row x14ac:dyDescent="0.25" r="13" customHeight="1" ht="18.75">
      <c r="A13" s="7">
        <v>101242667</v>
      </c>
      <c r="B13" s="8">
        <v>45895</v>
      </c>
      <c r="C13" s="9">
        <v>5.479166666666667</v>
      </c>
      <c r="D13" s="7">
        <v>117815</v>
      </c>
      <c r="E13" s="10">
        <v>390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19">
        <f>IFERROR(INDEX(#REF!,MATCH($D13,#REF!,"")),"")</f>
      </c>
      <c r="AL13" s="19">
        <f>IFERROR(INDEX(#REF!,MATCH($D13,#REF!,"")),"")</f>
      </c>
      <c r="AM13" s="19">
        <f>IFERROR(INDEX(#REF!,MATCH($D13,#REF!,"")),"")</f>
      </c>
      <c r="AN13" s="19">
        <f>IFERROR(INDEX(#REF!,MATCH($D13,#REF!,0)),"")</f>
      </c>
    </row>
    <row x14ac:dyDescent="0.25" r="14" customHeight="1" ht="18.75">
      <c r="A14" s="7">
        <v>101242668</v>
      </c>
      <c r="B14" s="8">
        <v>45895</v>
      </c>
      <c r="C14" s="9">
        <v>5.486111111111111</v>
      </c>
      <c r="D14" s="7">
        <v>124595</v>
      </c>
      <c r="E14" s="10">
        <v>161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19">
        <f>IFERROR(INDEX(#REF!,MATCH($D14,#REF!,"")),"")</f>
      </c>
      <c r="AL14" s="19">
        <f>IFERROR(INDEX(#REF!,MATCH($D14,#REF!,"")),"")</f>
      </c>
      <c r="AM14" s="19">
        <f>IFERROR(INDEX(#REF!,MATCH($D14,#REF!,"")),"")</f>
      </c>
      <c r="AN14" s="19">
        <f>IFERROR(INDEX(#REF!,MATCH($D14,#REF!,0)),"")</f>
      </c>
    </row>
    <row x14ac:dyDescent="0.25" r="15" customHeight="1" ht="18.75">
      <c r="A15" s="11">
        <v>111242677</v>
      </c>
      <c r="B15" s="8">
        <v>45895</v>
      </c>
      <c r="C15" s="9">
        <v>5.388888888888889</v>
      </c>
      <c r="D15" s="7">
        <v>102610</v>
      </c>
      <c r="E15" s="10">
        <v>61</v>
      </c>
      <c r="F15" s="6"/>
      <c r="G15" s="6"/>
      <c r="H15" s="6" t="s">
        <v>18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 t="s">
        <v>18</v>
      </c>
      <c r="AB15" s="6"/>
      <c r="AC15" s="6"/>
      <c r="AD15" s="6"/>
      <c r="AE15" s="6"/>
      <c r="AF15" s="6"/>
      <c r="AG15" s="6"/>
      <c r="AH15" s="6"/>
      <c r="AI15" s="6"/>
      <c r="AJ15" s="6"/>
      <c r="AK15" s="19">
        <f>IFERROR(INDEX(#REF!,MATCH($D15,#REF!,"")),"")</f>
      </c>
      <c r="AL15" s="19">
        <f>IFERROR(INDEX(#REF!,MATCH($D15,#REF!,"")),"")</f>
      </c>
      <c r="AM15" s="19">
        <f>IFERROR(INDEX(#REF!,MATCH($D15,#REF!,"")),"")</f>
      </c>
      <c r="AN15" s="19">
        <f>IFERROR(INDEX(#REF!,MATCH($D15,#REF!,0)),"")</f>
      </c>
    </row>
    <row x14ac:dyDescent="0.25" r="16" customHeight="1" ht="18.75">
      <c r="A16" s="7">
        <v>101242669</v>
      </c>
      <c r="B16" s="8">
        <v>45895</v>
      </c>
      <c r="C16" s="9">
        <v>5.493055555555555</v>
      </c>
      <c r="D16" s="7">
        <v>124678</v>
      </c>
      <c r="E16" s="10">
        <v>20</v>
      </c>
      <c r="F16" s="6" t="s">
        <v>8</v>
      </c>
      <c r="G16" s="6"/>
      <c r="H16" s="6" t="s">
        <v>163</v>
      </c>
      <c r="I16" s="6" t="s">
        <v>169</v>
      </c>
      <c r="J16" s="6" t="s">
        <v>170</v>
      </c>
      <c r="K16" s="6" t="s">
        <v>171</v>
      </c>
      <c r="L16" s="6" t="s">
        <v>145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 t="s">
        <v>11</v>
      </c>
      <c r="AB16" s="6"/>
      <c r="AC16" s="6"/>
      <c r="AD16" s="6"/>
      <c r="AE16" s="6"/>
      <c r="AF16" s="6"/>
      <c r="AG16" s="6"/>
      <c r="AH16" s="6"/>
      <c r="AI16" s="6"/>
      <c r="AJ16" s="6"/>
      <c r="AK16" s="19">
        <f>IFERROR(INDEX(#REF!,MATCH($D16,#REF!,"")),"")</f>
      </c>
      <c r="AL16" s="19">
        <f>IFERROR(INDEX(#REF!,MATCH($D16,#REF!,"")),"")</f>
      </c>
      <c r="AM16" s="19">
        <f>IFERROR(INDEX(#REF!,MATCH($D16,#REF!,"")),"")</f>
      </c>
      <c r="AN16" s="19">
        <f>IFERROR(INDEX(#REF!,MATCH($D16,#REF!,0)),"")</f>
      </c>
    </row>
    <row x14ac:dyDescent="0.25" r="17" customHeight="1" ht="18.75">
      <c r="A17" s="7">
        <v>101243112</v>
      </c>
      <c r="B17" s="8">
        <v>45896</v>
      </c>
      <c r="C17" s="9">
        <v>5.368055555555555</v>
      </c>
      <c r="D17" s="7">
        <v>102384</v>
      </c>
      <c r="E17" s="10">
        <v>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19">
        <f>IFERROR(INDEX(#REF!,MATCH($D17,#REF!,"")),"")</f>
      </c>
      <c r="AL17" s="19">
        <f>IFERROR(INDEX(#REF!,MATCH($D17,#REF!,"")),"")</f>
      </c>
      <c r="AM17" s="19">
        <f>IFERROR(INDEX(#REF!,MATCH($D17,#REF!,"")),"")</f>
      </c>
      <c r="AN17" s="19">
        <f>IFERROR(INDEX(#REF!,MATCH($D17,#REF!,0)),"")</f>
      </c>
    </row>
    <row x14ac:dyDescent="0.25" r="18" customHeight="1" ht="18.75">
      <c r="A18" s="7">
        <v>101242891</v>
      </c>
      <c r="B18" s="8">
        <v>45896</v>
      </c>
      <c r="C18" s="9">
        <v>5.368055555555555</v>
      </c>
      <c r="D18" s="7">
        <v>118688</v>
      </c>
      <c r="E18" s="10">
        <v>682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19">
        <f>IFERROR(INDEX(#REF!,MATCH($D18,#REF!,"")),"")</f>
      </c>
      <c r="AL18" s="19">
        <f>IFERROR(INDEX(#REF!,MATCH($D18,#REF!,"")),"")</f>
      </c>
      <c r="AM18" s="19">
        <f>IFERROR(INDEX(#REF!,MATCH($D18,#REF!,"")),"")</f>
      </c>
      <c r="AN18" s="19">
        <f>IFERROR(INDEX(#REF!,MATCH($D18,#REF!,0)),"")</f>
      </c>
    </row>
    <row x14ac:dyDescent="0.25" r="19" customHeight="1" ht="18.75">
      <c r="A19" s="7">
        <v>101242892</v>
      </c>
      <c r="B19" s="8">
        <v>45896</v>
      </c>
      <c r="C19" s="9">
        <v>5.375</v>
      </c>
      <c r="D19" s="7">
        <v>122826</v>
      </c>
      <c r="E19" s="10">
        <v>724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19">
        <f>IFERROR(INDEX(#REF!,MATCH($D19,#REF!,"")),"")</f>
      </c>
      <c r="AL19" s="19">
        <f>IFERROR(INDEX(#REF!,MATCH($D19,#REF!,"")),"")</f>
      </c>
      <c r="AM19" s="19">
        <f>IFERROR(INDEX(#REF!,MATCH($D19,#REF!,"")),"")</f>
      </c>
      <c r="AN19" s="19">
        <f>IFERROR(INDEX(#REF!,MATCH($D19,#REF!,0)),"")</f>
      </c>
    </row>
    <row x14ac:dyDescent="0.25" r="20" customHeight="1" ht="18.75">
      <c r="A20" s="7">
        <v>101242893</v>
      </c>
      <c r="B20" s="8">
        <v>45896</v>
      </c>
      <c r="C20" s="9">
        <v>5.381944444444445</v>
      </c>
      <c r="D20" s="7">
        <v>102718</v>
      </c>
      <c r="E20" s="10">
        <v>44</v>
      </c>
      <c r="F20" s="6" t="s">
        <v>8</v>
      </c>
      <c r="G20" s="6"/>
      <c r="H20" s="6" t="s">
        <v>163</v>
      </c>
      <c r="I20" s="6" t="s">
        <v>169</v>
      </c>
      <c r="J20" s="6" t="s">
        <v>170</v>
      </c>
      <c r="K20" s="6" t="s">
        <v>175</v>
      </c>
      <c r="L20" s="6" t="s">
        <v>171</v>
      </c>
      <c r="M20" s="6" t="s">
        <v>145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 t="s">
        <v>12</v>
      </c>
      <c r="AB20" s="6"/>
      <c r="AC20" s="6"/>
      <c r="AD20" s="6"/>
      <c r="AE20" s="6"/>
      <c r="AF20" s="6"/>
      <c r="AG20" s="6"/>
      <c r="AH20" s="6"/>
      <c r="AI20" s="6"/>
      <c r="AJ20" s="6"/>
      <c r="AK20" s="19">
        <f>IFERROR(INDEX(#REF!,MATCH($D20,#REF!,"")),"")</f>
      </c>
      <c r="AL20" s="19">
        <f>IFERROR(INDEX(#REF!,MATCH($D20,#REF!,"")),"")</f>
      </c>
      <c r="AM20" s="19">
        <f>IFERROR(INDEX(#REF!,MATCH($D20,#REF!,"")),"")</f>
      </c>
      <c r="AN20" s="19">
        <f>IFERROR(INDEX(#REF!,MATCH($D20,#REF!,0)),"")</f>
      </c>
    </row>
    <row x14ac:dyDescent="0.25" r="21" customHeight="1" ht="18.75">
      <c r="A21" s="7">
        <v>101242897</v>
      </c>
      <c r="B21" s="8">
        <v>45896</v>
      </c>
      <c r="C21" s="9">
        <v>5.409722222222222</v>
      </c>
      <c r="D21" s="7">
        <v>112969</v>
      </c>
      <c r="E21" s="10">
        <v>445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19">
        <f>IFERROR(INDEX(#REF!,MATCH($D21,#REF!,"")),"")</f>
      </c>
      <c r="AL21" s="19">
        <f>IFERROR(INDEX(#REF!,MATCH($D21,#REF!,"")),"")</f>
      </c>
      <c r="AM21" s="19">
        <f>IFERROR(INDEX(#REF!,MATCH($D21,#REF!,"")),"")</f>
      </c>
      <c r="AN21" s="19">
        <f>IFERROR(INDEX(#REF!,MATCH($D21,#REF!,0)),"")</f>
      </c>
    </row>
    <row x14ac:dyDescent="0.25" r="22" customHeight="1" ht="18.75">
      <c r="A22" s="7">
        <v>101242900</v>
      </c>
      <c r="B22" s="8">
        <v>45896</v>
      </c>
      <c r="C22" s="9">
        <v>5.430555555555555</v>
      </c>
      <c r="D22" s="7">
        <v>112389</v>
      </c>
      <c r="E22" s="10">
        <v>93</v>
      </c>
      <c r="F22" s="6"/>
      <c r="G22" s="6"/>
      <c r="H22" s="6" t="s">
        <v>176</v>
      </c>
      <c r="I22" s="6" t="s">
        <v>177</v>
      </c>
      <c r="J22" s="6" t="s">
        <v>178</v>
      </c>
      <c r="K22" s="6" t="s">
        <v>179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 t="s">
        <v>180</v>
      </c>
      <c r="AB22" s="6"/>
      <c r="AC22" s="6"/>
      <c r="AD22" s="6"/>
      <c r="AE22" s="6"/>
      <c r="AF22" s="6"/>
      <c r="AG22" s="6"/>
      <c r="AH22" s="6"/>
      <c r="AI22" s="6"/>
      <c r="AJ22" s="6"/>
      <c r="AK22" s="19">
        <f>IFERROR(INDEX(#REF!,MATCH($D22,#REF!,"")),"")</f>
      </c>
      <c r="AL22" s="19">
        <f>IFERROR(INDEX(#REF!,MATCH($D22,#REF!,"")),"")</f>
      </c>
      <c r="AM22" s="19">
        <f>IFERROR(INDEX(#REF!,MATCH($D22,#REF!,"")),"")</f>
      </c>
      <c r="AN22" s="19">
        <f>IFERROR(INDEX(#REF!,MATCH($D22,#REF!,0)),"")</f>
      </c>
    </row>
    <row x14ac:dyDescent="0.25" r="23" customHeight="1" ht="18.75">
      <c r="A23" s="7">
        <v>101242901</v>
      </c>
      <c r="B23" s="8">
        <v>45896</v>
      </c>
      <c r="C23" s="9">
        <v>5.4375</v>
      </c>
      <c r="D23" s="7">
        <v>114142</v>
      </c>
      <c r="E23" s="10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19">
        <f>IFERROR(INDEX(#REF!,MATCH($D23,#REF!,"")),"")</f>
      </c>
      <c r="AL23" s="19">
        <f>IFERROR(INDEX(#REF!,MATCH($D23,#REF!,"")),"")</f>
      </c>
      <c r="AM23" s="19">
        <f>IFERROR(INDEX(#REF!,MATCH($D23,#REF!,"")),"")</f>
      </c>
      <c r="AN23" s="19">
        <f>IFERROR(INDEX(#REF!,MATCH($D23,#REF!,0)),"")</f>
      </c>
    </row>
    <row x14ac:dyDescent="0.25" r="24" customHeight="1" ht="18.75">
      <c r="A24" s="7">
        <v>101242902</v>
      </c>
      <c r="B24" s="8">
        <v>45896</v>
      </c>
      <c r="C24" s="9">
        <v>5.444444444444445</v>
      </c>
      <c r="D24" s="7">
        <v>105004</v>
      </c>
      <c r="E24" s="10">
        <v>150</v>
      </c>
      <c r="F24" s="6" t="s">
        <v>8</v>
      </c>
      <c r="G24" s="6"/>
      <c r="H24" s="6" t="s">
        <v>163</v>
      </c>
      <c r="I24" s="6" t="s">
        <v>169</v>
      </c>
      <c r="J24" s="6" t="s">
        <v>170</v>
      </c>
      <c r="K24" s="6" t="s">
        <v>175</v>
      </c>
      <c r="L24" s="6" t="s">
        <v>171</v>
      </c>
      <c r="M24" s="6" t="s">
        <v>145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 t="s">
        <v>12</v>
      </c>
      <c r="AB24" s="6"/>
      <c r="AC24" s="6"/>
      <c r="AD24" s="6"/>
      <c r="AE24" s="6"/>
      <c r="AF24" s="6"/>
      <c r="AG24" s="6"/>
      <c r="AH24" s="6"/>
      <c r="AI24" s="6"/>
      <c r="AJ24" s="6"/>
      <c r="AK24" s="19">
        <f>IFERROR(INDEX(#REF!,MATCH($D24,#REF!,"")),"")</f>
      </c>
      <c r="AL24" s="19">
        <f>IFERROR(INDEX(#REF!,MATCH($D24,#REF!,"")),"")</f>
      </c>
      <c r="AM24" s="19">
        <f>IFERROR(INDEX(#REF!,MATCH($D24,#REF!,"")),"")</f>
      </c>
      <c r="AN24" s="19">
        <f>IFERROR(INDEX(#REF!,MATCH($D24,#REF!,0)),"")</f>
      </c>
    </row>
    <row x14ac:dyDescent="0.25" r="25" customHeight="1" ht="18.75">
      <c r="A25" s="7">
        <v>101242905</v>
      </c>
      <c r="B25" s="8">
        <v>45896</v>
      </c>
      <c r="C25" s="9">
        <v>5.465277777777778</v>
      </c>
      <c r="D25" s="7">
        <v>119901</v>
      </c>
      <c r="E25" s="10">
        <v>40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19">
        <f>IFERROR(INDEX(#REF!,MATCH($D25,#REF!,"")),"")</f>
      </c>
      <c r="AL25" s="19">
        <f>IFERROR(INDEX(#REF!,MATCH($D25,#REF!,"")),"")</f>
      </c>
      <c r="AM25" s="19">
        <f>IFERROR(INDEX(#REF!,MATCH($D25,#REF!,"")),"")</f>
      </c>
      <c r="AN25" s="19">
        <f>IFERROR(INDEX(#REF!,MATCH($D25,#REF!,0)),"")</f>
      </c>
    </row>
    <row x14ac:dyDescent="0.25" r="26" customHeight="1" ht="18.75">
      <c r="A26" s="7">
        <v>101242906</v>
      </c>
      <c r="B26" s="8">
        <v>45896</v>
      </c>
      <c r="C26" s="9">
        <v>5.472222222222222</v>
      </c>
      <c r="D26" s="7">
        <v>123788</v>
      </c>
      <c r="E26" s="10">
        <v>30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9">
        <f>IFERROR(INDEX(#REF!,MATCH($D26,#REF!,"")),"")</f>
      </c>
      <c r="AL26" s="19">
        <f>IFERROR(INDEX(#REF!,MATCH($D26,#REF!,"")),"")</f>
      </c>
      <c r="AM26" s="19">
        <f>IFERROR(INDEX(#REF!,MATCH($D26,#REF!,"")),"")</f>
      </c>
      <c r="AN26" s="19">
        <f>IFERROR(INDEX(#REF!,MATCH($D26,#REF!,0)),"")</f>
      </c>
    </row>
    <row x14ac:dyDescent="0.25" r="27" customHeight="1" ht="18.75">
      <c r="A27" s="7">
        <v>101242908</v>
      </c>
      <c r="B27" s="8">
        <v>45896</v>
      </c>
      <c r="C27" s="9">
        <v>5.486111111111111</v>
      </c>
      <c r="D27" s="7">
        <v>124137</v>
      </c>
      <c r="E27" s="10">
        <v>15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19">
        <f>IFERROR(INDEX(#REF!,MATCH($D27,#REF!,"")),"")</f>
      </c>
      <c r="AL27" s="19">
        <f>IFERROR(INDEX(#REF!,MATCH($D27,#REF!,"")),"")</f>
      </c>
      <c r="AM27" s="19">
        <f>IFERROR(INDEX(#REF!,MATCH($D27,#REF!,"")),"")</f>
      </c>
      <c r="AN27" s="19">
        <f>IFERROR(INDEX(#REF!,MATCH($D27,#REF!,0)),"")</f>
      </c>
    </row>
    <row x14ac:dyDescent="0.25" r="28" customHeight="1" ht="18.75">
      <c r="A28" s="7">
        <v>101242903</v>
      </c>
      <c r="B28" s="8">
        <v>45896</v>
      </c>
      <c r="C28" s="9">
        <v>5.583333333333333</v>
      </c>
      <c r="D28" s="7">
        <v>114745</v>
      </c>
      <c r="E28" s="10">
        <v>351</v>
      </c>
      <c r="F28" s="6" t="s">
        <v>8</v>
      </c>
      <c r="G28" s="6"/>
      <c r="H28" s="6" t="s">
        <v>163</v>
      </c>
      <c r="I28" s="6" t="s">
        <v>169</v>
      </c>
      <c r="J28" s="6" t="s">
        <v>170</v>
      </c>
      <c r="K28" s="6" t="s">
        <v>171</v>
      </c>
      <c r="L28" s="6" t="s">
        <v>145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 t="s">
        <v>11</v>
      </c>
      <c r="AB28" s="6"/>
      <c r="AC28" s="6"/>
      <c r="AD28" s="6"/>
      <c r="AE28" s="6"/>
      <c r="AF28" s="6"/>
      <c r="AG28" s="6"/>
      <c r="AH28" s="6"/>
      <c r="AI28" s="6"/>
      <c r="AJ28" s="6"/>
      <c r="AK28" s="19">
        <f>IFERROR(INDEX(#REF!,MATCH($D28,#REF!,"")),"")</f>
      </c>
      <c r="AL28" s="19">
        <f>IFERROR(INDEX(#REF!,MATCH($D28,#REF!,"")),"")</f>
      </c>
      <c r="AM28" s="19">
        <f>IFERROR(INDEX(#REF!,MATCH($D28,#REF!,"")),"")</f>
      </c>
      <c r="AN28" s="19">
        <f>IFERROR(INDEX(#REF!,MATCH($D28,#REF!,0)),"")</f>
      </c>
    </row>
    <row x14ac:dyDescent="0.25" r="29" customHeight="1" ht="18.75">
      <c r="A29" s="7">
        <v>101243114</v>
      </c>
      <c r="B29" s="8">
        <v>45897</v>
      </c>
      <c r="C29" s="9">
        <v>5.375</v>
      </c>
      <c r="D29" s="7">
        <v>102386</v>
      </c>
      <c r="E29" s="10">
        <v>112</v>
      </c>
      <c r="F29" s="6" t="s">
        <v>8</v>
      </c>
      <c r="G29" s="6"/>
      <c r="H29" s="6" t="s">
        <v>18</v>
      </c>
      <c r="I29" s="6" t="s">
        <v>176</v>
      </c>
      <c r="J29" s="6" t="s">
        <v>177</v>
      </c>
      <c r="K29" s="6" t="s">
        <v>178</v>
      </c>
      <c r="L29" s="6" t="s">
        <v>179</v>
      </c>
      <c r="M29" s="6" t="s">
        <v>173</v>
      </c>
      <c r="N29" s="6" t="s">
        <v>163</v>
      </c>
      <c r="O29" s="6" t="s">
        <v>169</v>
      </c>
      <c r="P29" s="6" t="s">
        <v>170</v>
      </c>
      <c r="Q29" s="6" t="s">
        <v>175</v>
      </c>
      <c r="R29" s="6" t="s">
        <v>171</v>
      </c>
      <c r="S29" s="6" t="s">
        <v>145</v>
      </c>
      <c r="T29" s="6"/>
      <c r="U29" s="6"/>
      <c r="V29" s="6"/>
      <c r="W29" s="6"/>
      <c r="X29" s="6"/>
      <c r="Y29" s="6"/>
      <c r="Z29" s="6"/>
      <c r="AA29" s="6" t="s">
        <v>181</v>
      </c>
      <c r="AB29" s="6"/>
      <c r="AC29" s="6"/>
      <c r="AD29" s="6"/>
      <c r="AE29" s="6"/>
      <c r="AF29" s="6"/>
      <c r="AG29" s="6"/>
      <c r="AH29" s="6"/>
      <c r="AI29" s="6"/>
      <c r="AJ29" s="6"/>
      <c r="AK29" s="19">
        <f>IFERROR(INDEX(#REF!,MATCH($D29,#REF!,"")),"")</f>
      </c>
      <c r="AL29" s="19">
        <f>IFERROR(INDEX(#REF!,MATCH($D29,#REF!,"")),"")</f>
      </c>
      <c r="AM29" s="19">
        <f>IFERROR(INDEX(#REF!,MATCH($D29,#REF!,"")),"")</f>
      </c>
      <c r="AN29" s="19">
        <f>IFERROR(INDEX(#REF!,MATCH($D29,#REF!,0)),"")</f>
      </c>
    </row>
    <row x14ac:dyDescent="0.25" r="30" customHeight="1" ht="18.75">
      <c r="A30" s="7">
        <v>101243115</v>
      </c>
      <c r="B30" s="8">
        <v>45897</v>
      </c>
      <c r="C30" s="9">
        <v>5.381944444444445</v>
      </c>
      <c r="D30" s="7">
        <v>102724</v>
      </c>
      <c r="E30" s="10">
        <v>120</v>
      </c>
      <c r="F30" s="6" t="s">
        <v>8</v>
      </c>
      <c r="G30" s="6"/>
      <c r="H30" s="6" t="s">
        <v>163</v>
      </c>
      <c r="I30" s="6" t="s">
        <v>169</v>
      </c>
      <c r="J30" s="6" t="s">
        <v>170</v>
      </c>
      <c r="K30" s="6" t="s">
        <v>175</v>
      </c>
      <c r="L30" s="6" t="s">
        <v>171</v>
      </c>
      <c r="M30" s="6" t="s">
        <v>145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s">
        <v>12</v>
      </c>
      <c r="AB30" s="6"/>
      <c r="AC30" s="6"/>
      <c r="AD30" s="6"/>
      <c r="AE30" s="6"/>
      <c r="AF30" s="6"/>
      <c r="AG30" s="6"/>
      <c r="AH30" s="6"/>
      <c r="AI30" s="6"/>
      <c r="AJ30" s="6"/>
      <c r="AK30" s="19">
        <f>IFERROR(INDEX(#REF!,MATCH($D30,#REF!,"")),"")</f>
      </c>
      <c r="AL30" s="19">
        <f>IFERROR(INDEX(#REF!,MATCH($D30,#REF!,"")),"")</f>
      </c>
      <c r="AM30" s="19">
        <f>IFERROR(INDEX(#REF!,MATCH($D30,#REF!,"")),"")</f>
      </c>
      <c r="AN30" s="19">
        <f>IFERROR(INDEX(#REF!,MATCH($D30,#REF!,0)),"")</f>
      </c>
    </row>
    <row x14ac:dyDescent="0.25" r="31" customHeight="1" ht="18.75">
      <c r="A31" s="7">
        <v>101243117</v>
      </c>
      <c r="B31" s="8">
        <v>45897</v>
      </c>
      <c r="C31" s="9">
        <v>5.409722222222222</v>
      </c>
      <c r="D31" s="7">
        <v>102449</v>
      </c>
      <c r="E31" s="10">
        <v>226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19">
        <f>IFERROR(INDEX(#REF!,MATCH($D31,#REF!,"")),"")</f>
      </c>
      <c r="AL31" s="19">
        <f>IFERROR(INDEX(#REF!,MATCH($D31,#REF!,"")),"")</f>
      </c>
      <c r="AM31" s="19">
        <f>IFERROR(INDEX(#REF!,MATCH($D31,#REF!,"")),"")</f>
      </c>
      <c r="AN31" s="19">
        <f>IFERROR(INDEX(#REF!,MATCH($D31,#REF!,0)),"")</f>
      </c>
    </row>
    <row x14ac:dyDescent="0.25" r="32" customHeight="1" ht="18.75">
      <c r="A32" s="7">
        <v>101243118</v>
      </c>
      <c r="B32" s="8">
        <v>45897</v>
      </c>
      <c r="C32" s="9">
        <v>5.416666666666667</v>
      </c>
      <c r="D32" s="7">
        <v>123795</v>
      </c>
      <c r="E32" s="10">
        <v>32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19">
        <f>IFERROR(INDEX(#REF!,MATCH($D32,#REF!,"")),"")</f>
      </c>
      <c r="AL32" s="19">
        <f>IFERROR(INDEX(#REF!,MATCH($D32,#REF!,"")),"")</f>
      </c>
      <c r="AM32" s="19">
        <f>IFERROR(INDEX(#REF!,MATCH($D32,#REF!,"")),"")</f>
      </c>
      <c r="AN32" s="19">
        <f>IFERROR(INDEX(#REF!,MATCH($D32,#REF!,0)),"")</f>
      </c>
    </row>
    <row x14ac:dyDescent="0.25" r="33" customHeight="1" ht="18.75">
      <c r="A33" s="7">
        <v>101243122</v>
      </c>
      <c r="B33" s="8">
        <v>45897</v>
      </c>
      <c r="C33" s="9">
        <v>5.444444444444445</v>
      </c>
      <c r="D33" s="7">
        <v>102480</v>
      </c>
      <c r="E33" s="10">
        <v>63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19">
        <f>IFERROR(INDEX(#REF!,MATCH($D33,#REF!,"")),"")</f>
      </c>
      <c r="AL33" s="19">
        <f>IFERROR(INDEX(#REF!,MATCH($D33,#REF!,"")),"")</f>
      </c>
      <c r="AM33" s="19">
        <f>IFERROR(INDEX(#REF!,MATCH($D33,#REF!,"")),"")</f>
      </c>
      <c r="AN33" s="19">
        <f>IFERROR(INDEX(#REF!,MATCH($D33,#REF!,0)),"")</f>
      </c>
    </row>
    <row x14ac:dyDescent="0.25" r="34" customHeight="1" ht="18.75">
      <c r="A34" s="7">
        <v>101243123</v>
      </c>
      <c r="B34" s="8">
        <v>45897</v>
      </c>
      <c r="C34" s="9">
        <v>5.458333333333333</v>
      </c>
      <c r="D34" s="7">
        <v>102511</v>
      </c>
      <c r="E34" s="10">
        <v>287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19">
        <f>IFERROR(INDEX(#REF!,MATCH($D34,#REF!,"")),"")</f>
      </c>
      <c r="AL34" s="19">
        <f>IFERROR(INDEX(#REF!,MATCH($D34,#REF!,"")),"")</f>
      </c>
      <c r="AM34" s="19">
        <f>IFERROR(INDEX(#REF!,MATCH($D34,#REF!,"")),"")</f>
      </c>
      <c r="AN34" s="19">
        <f>IFERROR(INDEX(#REF!,MATCH($D34,#REF!,0)),"")</f>
      </c>
    </row>
    <row x14ac:dyDescent="0.25" r="35" customHeight="1" ht="18.75">
      <c r="A35" s="7">
        <v>101243128</v>
      </c>
      <c r="B35" s="8">
        <v>45897</v>
      </c>
      <c r="C35" s="9">
        <v>5.493055555555555</v>
      </c>
      <c r="D35" s="7">
        <v>112377</v>
      </c>
      <c r="E35" s="10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19">
        <f>IFERROR(INDEX(#REF!,MATCH($D35,#REF!,"")),"")</f>
      </c>
      <c r="AL35" s="19">
        <f>IFERROR(INDEX(#REF!,MATCH($D35,#REF!,"")),"")</f>
      </c>
      <c r="AM35" s="19">
        <f>IFERROR(INDEX(#REF!,MATCH($D35,#REF!,"")),"")</f>
      </c>
      <c r="AN35" s="19">
        <f>IFERROR(INDEX(#REF!,MATCH($D35,#REF!,0)),"")</f>
      </c>
    </row>
    <row x14ac:dyDescent="0.25" r="36" customHeight="1" ht="18.75">
      <c r="A36" s="7">
        <v>101243130</v>
      </c>
      <c r="B36" s="8">
        <v>45897</v>
      </c>
      <c r="C36" s="9">
        <v>5.590277777777778</v>
      </c>
      <c r="D36" s="7">
        <v>114716</v>
      </c>
      <c r="E36" s="10">
        <v>97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19">
        <f>IFERROR(INDEX(#REF!,MATCH($D36,#REF!,"")),"")</f>
      </c>
      <c r="AL36" s="19">
        <f>IFERROR(INDEX(#REF!,MATCH($D36,#REF!,"")),"")</f>
      </c>
      <c r="AM36" s="19">
        <f>IFERROR(INDEX(#REF!,MATCH($D36,#REF!,"")),"")</f>
      </c>
      <c r="AN36" s="19">
        <f>IFERROR(INDEX(#REF!,MATCH($D36,#REF!,0)),"")</f>
      </c>
    </row>
    <row x14ac:dyDescent="0.25" r="37" customHeight="1" ht="18.75">
      <c r="A37" s="11">
        <v>111256987</v>
      </c>
      <c r="B37" s="8">
        <v>45897</v>
      </c>
      <c r="C37" s="9">
        <v>5.479166666666667</v>
      </c>
      <c r="D37" s="11">
        <v>119015</v>
      </c>
      <c r="E37" s="10">
        <v>165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19">
        <f>IFERROR(INDEX(#REF!,MATCH($D37,#REF!,"")),"")</f>
      </c>
      <c r="AL37" s="19">
        <f>IFERROR(INDEX(#REF!,MATCH($D37,#REF!,"")),"")</f>
      </c>
      <c r="AM37" s="19">
        <f>IFERROR(INDEX(#REF!,MATCH($D37,#REF!,"")),"")</f>
      </c>
      <c r="AN37" s="19">
        <f>IFERROR(INDEX(#REF!,MATCH($D37,#REF!,0)),"")</f>
      </c>
    </row>
    <row x14ac:dyDescent="0.25" r="38" customHeight="1" ht="18.75">
      <c r="A38" s="7">
        <v>101243306</v>
      </c>
      <c r="B38" s="8">
        <v>45898</v>
      </c>
      <c r="C38" s="9">
        <v>5.368055555555555</v>
      </c>
      <c r="D38" s="7">
        <v>117285</v>
      </c>
      <c r="E38" s="10">
        <v>73</v>
      </c>
      <c r="F38" s="6"/>
      <c r="G38" s="6"/>
      <c r="H38" s="6" t="s">
        <v>18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 t="s">
        <v>18</v>
      </c>
      <c r="AB38" s="6"/>
      <c r="AC38" s="6"/>
      <c r="AD38" s="6"/>
      <c r="AE38" s="6"/>
      <c r="AF38" s="6"/>
      <c r="AG38" s="6"/>
      <c r="AH38" s="6"/>
      <c r="AI38" s="6"/>
      <c r="AJ38" s="6"/>
      <c r="AK38" s="19">
        <f>IFERROR(INDEX(#REF!,MATCH($D38,#REF!,"")),"")</f>
      </c>
      <c r="AL38" s="19">
        <f>IFERROR(INDEX(#REF!,MATCH($D38,#REF!,"")),"")</f>
      </c>
      <c r="AM38" s="19">
        <f>IFERROR(INDEX(#REF!,MATCH($D38,#REF!,"")),"")</f>
      </c>
      <c r="AN38" s="19">
        <f>IFERROR(INDEX(#REF!,MATCH($D38,#REF!,0)),"")</f>
      </c>
    </row>
    <row x14ac:dyDescent="0.25" r="39" customHeight="1" ht="18.75">
      <c r="A39" s="7">
        <v>101243312</v>
      </c>
      <c r="B39" s="8">
        <v>45898</v>
      </c>
      <c r="C39" s="9">
        <v>5.409722222222222</v>
      </c>
      <c r="D39" s="7">
        <v>102488</v>
      </c>
      <c r="E39" s="10">
        <v>52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19">
        <f>IFERROR(INDEX(#REF!,MATCH($D39,#REF!,"")),"")</f>
      </c>
      <c r="AL39" s="19">
        <f>IFERROR(INDEX(#REF!,MATCH($D39,#REF!,"")),"")</f>
      </c>
      <c r="AM39" s="19">
        <f>IFERROR(INDEX(#REF!,MATCH($D39,#REF!,"")),"")</f>
      </c>
      <c r="AN39" s="19">
        <f>IFERROR(INDEX(#REF!,MATCH($D39,#REF!,0)),"")</f>
      </c>
    </row>
    <row x14ac:dyDescent="0.25" r="40" customHeight="1" ht="18.75">
      <c r="A40" s="7">
        <v>101243318</v>
      </c>
      <c r="B40" s="8">
        <v>45898</v>
      </c>
      <c r="C40" s="9">
        <v>5.444444444444445</v>
      </c>
      <c r="D40" s="7">
        <v>122887</v>
      </c>
      <c r="E40" s="10">
        <v>419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19">
        <f>IFERROR(INDEX(#REF!,MATCH($D40,#REF!,"")),"")</f>
      </c>
      <c r="AL40" s="19">
        <f>IFERROR(INDEX(#REF!,MATCH($D40,#REF!,"")),"")</f>
      </c>
      <c r="AM40" s="19">
        <f>IFERROR(INDEX(#REF!,MATCH($D40,#REF!,"")),"")</f>
      </c>
      <c r="AN40" s="19">
        <f>IFERROR(INDEX(#REF!,MATCH($D40,#REF!,0)),"")</f>
      </c>
    </row>
    <row x14ac:dyDescent="0.25" r="41" customHeight="1" ht="18.75">
      <c r="A41" s="7">
        <v>101243308</v>
      </c>
      <c r="B41" s="8">
        <v>45898</v>
      </c>
      <c r="C41" s="9">
        <v>5.381944444444445</v>
      </c>
      <c r="D41" s="7">
        <v>122221</v>
      </c>
      <c r="E41" s="10">
        <v>330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19">
        <f>IFERROR(INDEX(#REF!,MATCH($D41,#REF!,"")),"")</f>
      </c>
      <c r="AL41" s="19">
        <f>IFERROR(INDEX(#REF!,MATCH($D41,#REF!,"")),"")</f>
      </c>
      <c r="AM41" s="19">
        <f>IFERROR(INDEX(#REF!,MATCH($D41,#REF!,"")),"")</f>
      </c>
      <c r="AN41" s="19">
        <f>IFERROR(INDEX(#REF!,MATCH($D41,#REF!,0)),"")</f>
      </c>
    </row>
    <row x14ac:dyDescent="0.25" r="42" customHeight="1" ht="18.75">
      <c r="A42" s="7">
        <v>101243319</v>
      </c>
      <c r="B42" s="8">
        <v>45898</v>
      </c>
      <c r="C42" s="9">
        <v>5.451388888888889</v>
      </c>
      <c r="D42" s="7">
        <v>102624</v>
      </c>
      <c r="E42" s="10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19">
        <f>IFERROR(INDEX(#REF!,MATCH($D42,#REF!,"")),"")</f>
      </c>
      <c r="AL42" s="19">
        <f>IFERROR(INDEX(#REF!,MATCH($D42,#REF!,"")),"")</f>
      </c>
      <c r="AM42" s="19">
        <f>IFERROR(INDEX(#REF!,MATCH($D42,#REF!,"")),"")</f>
      </c>
      <c r="AN42" s="19">
        <f>IFERROR(INDEX(#REF!,MATCH($D42,#REF!,0)),"")</f>
      </c>
    </row>
    <row x14ac:dyDescent="0.25" r="43" customHeight="1" ht="18.75">
      <c r="A43" s="11">
        <v>112121122</v>
      </c>
      <c r="B43" s="8">
        <v>45898</v>
      </c>
      <c r="C43" s="9">
        <v>5.458333333333333</v>
      </c>
      <c r="D43" s="11">
        <v>102625</v>
      </c>
      <c r="E43" s="10">
        <v>28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19">
        <f>IFERROR(INDEX(#REF!,MATCH($D43,#REF!,"")),"")</f>
      </c>
      <c r="AL43" s="19">
        <f>IFERROR(INDEX(#REF!,MATCH($D43,#REF!,"")),"")</f>
      </c>
      <c r="AM43" s="19">
        <f>IFERROR(INDEX(#REF!,MATCH($D43,#REF!,"")),"")</f>
      </c>
      <c r="AN43" s="19">
        <f>IFERROR(INDEX(#REF!,MATCH($D43,#REF!,0)),"")</f>
      </c>
    </row>
    <row x14ac:dyDescent="0.25" r="44" customHeight="1" ht="18.75">
      <c r="A44" s="7"/>
      <c r="B44" s="8"/>
      <c r="C44" s="9"/>
      <c r="D44" s="7"/>
      <c r="E44" s="1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19">
        <f>IFERROR(INDEX(#REF!,MATCH($D44,#REF!,"")),"")</f>
      </c>
      <c r="AL44" s="19">
        <f>IFERROR(INDEX(#REF!,MATCH($D44,#REF!,"")),"")</f>
      </c>
      <c r="AM44" s="19">
        <f>IFERROR(INDEX(#REF!,MATCH($D44,#REF!,"")),"")</f>
      </c>
      <c r="AN44" s="19">
        <f>IFERROR(INDEX(#REF!,MATCH($D44,#REF!,0)),"")</f>
      </c>
    </row>
    <row x14ac:dyDescent="0.25" r="45" customHeight="1" ht="18.75">
      <c r="A45" s="7">
        <v>101238323</v>
      </c>
      <c r="B45" s="8">
        <v>45901</v>
      </c>
      <c r="C45" s="9">
        <v>5.388888888888889</v>
      </c>
      <c r="D45" s="7">
        <v>102234</v>
      </c>
      <c r="E45" s="10">
        <v>443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19">
        <f>IFERROR(INDEX(#REF!,MATCH($D45,#REF!,"")),"")</f>
      </c>
      <c r="AL45" s="19">
        <f>IFERROR(INDEX(#REF!,MATCH($D45,#REF!,"")),"")</f>
      </c>
      <c r="AM45" s="19">
        <f>IFERROR(INDEX(#REF!,MATCH($D45,#REF!,"")),"")</f>
      </c>
      <c r="AN45" s="19">
        <f>IFERROR(INDEX(#REF!,MATCH($D45,#REF!,0)),"")</f>
      </c>
    </row>
    <row x14ac:dyDescent="0.25" r="46" customHeight="1" ht="18.75">
      <c r="A46" s="7">
        <v>101238328</v>
      </c>
      <c r="B46" s="8">
        <v>45901</v>
      </c>
      <c r="C46" s="9">
        <v>5.395833333333333</v>
      </c>
      <c r="D46" s="7">
        <v>102613</v>
      </c>
      <c r="E46" s="10">
        <v>68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19">
        <f>IFERROR(INDEX(#REF!,MATCH($D46,#REF!,"")),"")</f>
      </c>
      <c r="AL46" s="19">
        <f>IFERROR(INDEX(#REF!,MATCH($D46,#REF!,"")),"")</f>
      </c>
      <c r="AM46" s="19">
        <f>IFERROR(INDEX(#REF!,MATCH($D46,#REF!,"")),"")</f>
      </c>
      <c r="AN46" s="19">
        <f>IFERROR(INDEX(#REF!,MATCH($D46,#REF!,0)),"")</f>
      </c>
    </row>
    <row x14ac:dyDescent="0.25" r="47" customHeight="1" ht="18.75">
      <c r="A47" s="7">
        <v>101238330</v>
      </c>
      <c r="B47" s="8">
        <v>45901</v>
      </c>
      <c r="C47" s="9">
        <v>5.409722222222222</v>
      </c>
      <c r="D47" s="7">
        <v>102675</v>
      </c>
      <c r="E47" s="10">
        <v>154</v>
      </c>
      <c r="F47" s="6" t="s">
        <v>8</v>
      </c>
      <c r="G47" s="6" t="s">
        <v>8</v>
      </c>
      <c r="H47" s="6" t="s">
        <v>42</v>
      </c>
      <c r="I47" s="6" t="s">
        <v>176</v>
      </c>
      <c r="J47" s="6" t="s">
        <v>177</v>
      </c>
      <c r="K47" s="6" t="s">
        <v>178</v>
      </c>
      <c r="L47" s="6" t="s">
        <v>179</v>
      </c>
      <c r="M47" s="6" t="s">
        <v>163</v>
      </c>
      <c r="N47" s="6" t="s">
        <v>182</v>
      </c>
      <c r="O47" s="6" t="s">
        <v>183</v>
      </c>
      <c r="P47" s="6" t="s">
        <v>168</v>
      </c>
      <c r="Q47" s="6" t="s">
        <v>169</v>
      </c>
      <c r="R47" s="6" t="s">
        <v>170</v>
      </c>
      <c r="S47" s="6" t="s">
        <v>171</v>
      </c>
      <c r="T47" s="6" t="s">
        <v>145</v>
      </c>
      <c r="U47" s="6"/>
      <c r="V47" s="6"/>
      <c r="W47" s="6"/>
      <c r="X47" s="6"/>
      <c r="Y47" s="6"/>
      <c r="Z47" s="6"/>
      <c r="AA47" s="6" t="s">
        <v>9</v>
      </c>
      <c r="AB47" s="6"/>
      <c r="AC47" s="6"/>
      <c r="AD47" s="6"/>
      <c r="AE47" s="6"/>
      <c r="AF47" s="6"/>
      <c r="AG47" s="6"/>
      <c r="AH47" s="6"/>
      <c r="AI47" s="6"/>
      <c r="AJ47" s="6"/>
      <c r="AK47" s="19">
        <f>IFERROR(INDEX(#REF!,MATCH($D47,#REF!,"")),"")</f>
      </c>
      <c r="AL47" s="19">
        <f>IFERROR(INDEX(#REF!,MATCH($D47,#REF!,"")),"")</f>
      </c>
      <c r="AM47" s="19">
        <f>IFERROR(INDEX(#REF!,MATCH($D47,#REF!,"")),"")</f>
      </c>
      <c r="AN47" s="19">
        <f>IFERROR(INDEX(#REF!,MATCH($D47,#REF!,0)),"")</f>
      </c>
    </row>
    <row x14ac:dyDescent="0.25" r="48" customHeight="1" ht="18.75">
      <c r="A48" s="7">
        <v>101238332</v>
      </c>
      <c r="B48" s="8">
        <v>45901</v>
      </c>
      <c r="C48" s="9">
        <v>5.416666666666667</v>
      </c>
      <c r="D48" s="7">
        <v>119014</v>
      </c>
      <c r="E48" s="10">
        <v>215</v>
      </c>
      <c r="F48" s="6"/>
      <c r="G48" s="6" t="s">
        <v>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19">
        <f>IFERROR(INDEX(#REF!,MATCH($D48,#REF!,"")),"")</f>
      </c>
      <c r="AL48" s="19">
        <f>IFERROR(INDEX(#REF!,MATCH($D48,#REF!,"")),"")</f>
      </c>
      <c r="AM48" s="19">
        <f>IFERROR(INDEX(#REF!,MATCH($D48,#REF!,"")),"")</f>
      </c>
      <c r="AN48" s="19">
        <f>IFERROR(INDEX(#REF!,MATCH($D48,#REF!,0)),"")</f>
      </c>
    </row>
    <row x14ac:dyDescent="0.25" r="49" customHeight="1" ht="18.75">
      <c r="A49" s="7">
        <v>101238334</v>
      </c>
      <c r="B49" s="8">
        <v>45901</v>
      </c>
      <c r="C49" s="9">
        <v>5.430555555555555</v>
      </c>
      <c r="D49" s="7">
        <v>102592</v>
      </c>
      <c r="E49" s="10">
        <v>103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19">
        <f>IFERROR(INDEX(#REF!,MATCH($D49,#REF!,"")),"")</f>
      </c>
      <c r="AL49" s="19">
        <f>IFERROR(INDEX(#REF!,MATCH($D49,#REF!,"")),"")</f>
      </c>
      <c r="AM49" s="19">
        <f>IFERROR(INDEX(#REF!,MATCH($D49,#REF!,"")),"")</f>
      </c>
      <c r="AN49" s="19">
        <f>IFERROR(INDEX(#REF!,MATCH($D49,#REF!,0)),"")</f>
      </c>
    </row>
    <row x14ac:dyDescent="0.25" r="50" customHeight="1" ht="18.75">
      <c r="A50" s="7">
        <v>101238336</v>
      </c>
      <c r="B50" s="8">
        <v>45901</v>
      </c>
      <c r="C50" s="9">
        <v>5.444444444444445</v>
      </c>
      <c r="D50" s="7">
        <v>102382</v>
      </c>
      <c r="E50" s="10">
        <v>1002</v>
      </c>
      <c r="F50" s="6"/>
      <c r="G50" s="6" t="s">
        <v>8</v>
      </c>
      <c r="H50" s="6" t="s">
        <v>18</v>
      </c>
      <c r="I50" s="6" t="s">
        <v>176</v>
      </c>
      <c r="J50" s="6" t="s">
        <v>177</v>
      </c>
      <c r="K50" s="6" t="s">
        <v>178</v>
      </c>
      <c r="L50" s="6" t="s">
        <v>179</v>
      </c>
      <c r="M50" s="6" t="s">
        <v>115</v>
      </c>
      <c r="N50" s="6" t="s">
        <v>184</v>
      </c>
      <c r="O50" s="6" t="s">
        <v>167</v>
      </c>
      <c r="P50" s="6" t="s">
        <v>133</v>
      </c>
      <c r="Q50" s="6" t="s">
        <v>168</v>
      </c>
      <c r="R50" s="6"/>
      <c r="S50" s="6"/>
      <c r="T50" s="6"/>
      <c r="U50" s="6"/>
      <c r="V50" s="6"/>
      <c r="W50" s="6"/>
      <c r="X50" s="6"/>
      <c r="Y50" s="6"/>
      <c r="Z50" s="6"/>
      <c r="AA50" s="6" t="s">
        <v>10</v>
      </c>
      <c r="AB50" s="6"/>
      <c r="AC50" s="6"/>
      <c r="AD50" s="6"/>
      <c r="AE50" s="6"/>
      <c r="AF50" s="6"/>
      <c r="AG50" s="6"/>
      <c r="AH50" s="6"/>
      <c r="AI50" s="6"/>
      <c r="AJ50" s="6"/>
      <c r="AK50" s="19">
        <f>IFERROR(INDEX(#REF!,MATCH($D50,#REF!,"")),"")</f>
      </c>
      <c r="AL50" s="19">
        <f>IFERROR(INDEX(#REF!,MATCH($D50,#REF!,"")),"")</f>
      </c>
      <c r="AM50" s="19">
        <f>IFERROR(INDEX(#REF!,MATCH($D50,#REF!,"")),"")</f>
      </c>
      <c r="AN50" s="19">
        <f>IFERROR(INDEX(#REF!,MATCH($D50,#REF!,0)),"")</f>
      </c>
    </row>
    <row x14ac:dyDescent="0.25" r="51" customHeight="1" ht="18.75">
      <c r="A51" s="7">
        <v>101238337</v>
      </c>
      <c r="B51" s="8">
        <v>45901</v>
      </c>
      <c r="C51" s="9">
        <v>5.451388888888889</v>
      </c>
      <c r="D51" s="7">
        <v>102442</v>
      </c>
      <c r="E51" s="10">
        <v>65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19">
        <f>IFERROR(INDEX(#REF!,MATCH($D51,#REF!,"")),"")</f>
      </c>
      <c r="AL51" s="19">
        <f>IFERROR(INDEX(#REF!,MATCH($D51,#REF!,"")),"")</f>
      </c>
      <c r="AM51" s="19">
        <f>IFERROR(INDEX(#REF!,MATCH($D51,#REF!,"")),"")</f>
      </c>
      <c r="AN51" s="19">
        <f>IFERROR(INDEX(#REF!,MATCH($D51,#REF!,0)),"")</f>
      </c>
    </row>
    <row x14ac:dyDescent="0.25" r="52" customHeight="1" ht="18.75">
      <c r="A52" s="7">
        <v>101238338</v>
      </c>
      <c r="B52" s="8">
        <v>45901</v>
      </c>
      <c r="C52" s="9">
        <v>5.458333333333333</v>
      </c>
      <c r="D52" s="7">
        <v>102349</v>
      </c>
      <c r="E52" s="10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19">
        <f>IFERROR(INDEX(#REF!,MATCH($D52,#REF!,"")),"")</f>
      </c>
      <c r="AL52" s="19">
        <f>IFERROR(INDEX(#REF!,MATCH($D52,#REF!,"")),"")</f>
      </c>
      <c r="AM52" s="19">
        <f>IFERROR(INDEX(#REF!,MATCH($D52,#REF!,"")),"")</f>
      </c>
      <c r="AN52" s="19">
        <f>IFERROR(INDEX(#REF!,MATCH($D52,#REF!,0)),"")</f>
      </c>
    </row>
    <row x14ac:dyDescent="0.25" r="53" customHeight="1" ht="18.75">
      <c r="A53" s="7">
        <v>101238340</v>
      </c>
      <c r="B53" s="8">
        <v>45901</v>
      </c>
      <c r="C53" s="9">
        <v>5.472222222222222</v>
      </c>
      <c r="D53" s="7">
        <v>102401</v>
      </c>
      <c r="E53" s="10">
        <v>149</v>
      </c>
      <c r="F53" s="6" t="s">
        <v>8</v>
      </c>
      <c r="G53" s="6"/>
      <c r="H53" s="6" t="s">
        <v>163</v>
      </c>
      <c r="I53" s="6" t="s">
        <v>169</v>
      </c>
      <c r="J53" s="6" t="s">
        <v>170</v>
      </c>
      <c r="K53" s="6" t="s">
        <v>171</v>
      </c>
      <c r="L53" s="6" t="s">
        <v>145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 t="s">
        <v>11</v>
      </c>
      <c r="AB53" s="6"/>
      <c r="AC53" s="6"/>
      <c r="AD53" s="6"/>
      <c r="AE53" s="6"/>
      <c r="AF53" s="6"/>
      <c r="AG53" s="6"/>
      <c r="AH53" s="6"/>
      <c r="AI53" s="6"/>
      <c r="AJ53" s="6"/>
      <c r="AK53" s="19">
        <f>IFERROR(INDEX(#REF!,MATCH($D53,#REF!,"")),"")</f>
      </c>
      <c r="AL53" s="19">
        <f>IFERROR(INDEX(#REF!,MATCH($D53,#REF!,"")),"")</f>
      </c>
      <c r="AM53" s="19">
        <f>IFERROR(INDEX(#REF!,MATCH($D53,#REF!,"")),"")</f>
      </c>
      <c r="AN53" s="19">
        <f>IFERROR(INDEX(#REF!,MATCH($D53,#REF!,0)),"")</f>
      </c>
    </row>
    <row x14ac:dyDescent="0.25" r="54" customHeight="1" ht="18.75">
      <c r="A54" s="7">
        <v>101238341</v>
      </c>
      <c r="B54" s="8">
        <v>45901</v>
      </c>
      <c r="C54" s="9">
        <v>5.479166666666667</v>
      </c>
      <c r="D54" s="7">
        <v>102237</v>
      </c>
      <c r="E54" s="10">
        <v>17</v>
      </c>
      <c r="F54" s="6" t="s">
        <v>8</v>
      </c>
      <c r="G54" s="6"/>
      <c r="H54" s="6" t="s">
        <v>163</v>
      </c>
      <c r="I54" s="6" t="s">
        <v>169</v>
      </c>
      <c r="J54" s="6" t="s">
        <v>170</v>
      </c>
      <c r="K54" s="6" t="s">
        <v>175</v>
      </c>
      <c r="L54" s="6" t="s">
        <v>171</v>
      </c>
      <c r="M54" s="6" t="s">
        <v>145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 t="s">
        <v>12</v>
      </c>
      <c r="AB54" s="6"/>
      <c r="AC54" s="6"/>
      <c r="AD54" s="6"/>
      <c r="AE54" s="6"/>
      <c r="AF54" s="6"/>
      <c r="AG54" s="6"/>
      <c r="AH54" s="6"/>
      <c r="AI54" s="6"/>
      <c r="AJ54" s="6"/>
      <c r="AK54" s="19">
        <f>IFERROR(INDEX(#REF!,MATCH($D54,#REF!,"")),"")</f>
      </c>
      <c r="AL54" s="19">
        <f>IFERROR(INDEX(#REF!,MATCH($D54,#REF!,"")),"")</f>
      </c>
      <c r="AM54" s="19">
        <f>IFERROR(INDEX(#REF!,MATCH($D54,#REF!,"")),"")</f>
      </c>
      <c r="AN54" s="19">
        <f>IFERROR(INDEX(#REF!,MATCH($D54,#REF!,0)),"")</f>
      </c>
    </row>
    <row x14ac:dyDescent="0.25" r="55" customHeight="1" ht="18.75">
      <c r="A55" s="7">
        <v>101238342</v>
      </c>
      <c r="B55" s="8">
        <v>45901</v>
      </c>
      <c r="C55" s="9">
        <v>5.486111111111111</v>
      </c>
      <c r="D55" s="7">
        <v>102245</v>
      </c>
      <c r="E55" s="10">
        <v>72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19">
        <f>IFERROR(INDEX(#REF!,MATCH($D55,#REF!,"")),"")</f>
      </c>
      <c r="AL55" s="19">
        <f>IFERROR(INDEX(#REF!,MATCH($D55,#REF!,"")),"")</f>
      </c>
      <c r="AM55" s="19">
        <f>IFERROR(INDEX(#REF!,MATCH($D55,#REF!,"")),"")</f>
      </c>
      <c r="AN55" s="19">
        <f>IFERROR(INDEX(#REF!,MATCH($D55,#REF!,0)),"")</f>
      </c>
    </row>
    <row x14ac:dyDescent="0.25" r="56" customHeight="1" ht="18.75">
      <c r="A56" s="7">
        <v>101238329</v>
      </c>
      <c r="B56" s="8">
        <v>45901</v>
      </c>
      <c r="C56" s="9">
        <v>5.402777777777778</v>
      </c>
      <c r="D56" s="7">
        <v>102632</v>
      </c>
      <c r="E56" s="10">
        <v>82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19">
        <f>IFERROR(INDEX(#REF!,MATCH($D56,#REF!,"")),"")</f>
      </c>
      <c r="AL56" s="19">
        <f>IFERROR(INDEX(#REF!,MATCH($D56,#REF!,"")),"")</f>
      </c>
      <c r="AM56" s="19">
        <f>IFERROR(INDEX(#REF!,MATCH($D56,#REF!,"")),"")</f>
      </c>
      <c r="AN56" s="19">
        <f>IFERROR(INDEX(#REF!,MATCH($D56,#REF!,0)),"")</f>
      </c>
    </row>
    <row x14ac:dyDescent="0.25" r="57" customHeight="1" ht="18.75">
      <c r="A57" s="11">
        <v>111113668</v>
      </c>
      <c r="B57" s="8">
        <v>45901</v>
      </c>
      <c r="C57" s="9">
        <v>5.4375</v>
      </c>
      <c r="D57" s="11">
        <v>111920</v>
      </c>
      <c r="E57" s="10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19">
        <f>IFERROR(INDEX(#REF!,MATCH($D57,#REF!,"")),"")</f>
      </c>
      <c r="AL57" s="19">
        <f>IFERROR(INDEX(#REF!,MATCH($D57,#REF!,"")),"")</f>
      </c>
      <c r="AM57" s="19">
        <f>IFERROR(INDEX(#REF!,MATCH($D57,#REF!,"")),"")</f>
      </c>
      <c r="AN57" s="19">
        <f>IFERROR(INDEX(#REF!,MATCH($D57,#REF!,0)),"")</f>
      </c>
    </row>
    <row x14ac:dyDescent="0.25" r="58" customHeight="1" ht="18.75">
      <c r="A58" s="7">
        <v>101238746</v>
      </c>
      <c r="B58" s="8">
        <v>45902</v>
      </c>
      <c r="C58" s="9">
        <v>5.361111111111111</v>
      </c>
      <c r="D58" s="7">
        <v>102331</v>
      </c>
      <c r="E58" s="10">
        <v>399</v>
      </c>
      <c r="F58" s="6" t="s">
        <v>8</v>
      </c>
      <c r="G58" s="6"/>
      <c r="H58" s="6" t="s">
        <v>163</v>
      </c>
      <c r="I58" s="6" t="s">
        <v>169</v>
      </c>
      <c r="J58" s="6" t="s">
        <v>170</v>
      </c>
      <c r="K58" s="6" t="s">
        <v>175</v>
      </c>
      <c r="L58" s="6" t="s">
        <v>171</v>
      </c>
      <c r="M58" s="6" t="s">
        <v>145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 t="s">
        <v>12</v>
      </c>
      <c r="AB58" s="6"/>
      <c r="AC58" s="6"/>
      <c r="AD58" s="6"/>
      <c r="AE58" s="6"/>
      <c r="AF58" s="6"/>
      <c r="AG58" s="6"/>
      <c r="AH58" s="6"/>
      <c r="AI58" s="6"/>
      <c r="AJ58" s="6"/>
      <c r="AK58" s="19">
        <f>IFERROR(INDEX(#REF!,MATCH($D58,#REF!,"")),"")</f>
      </c>
      <c r="AL58" s="19">
        <f>IFERROR(INDEX(#REF!,MATCH($D58,#REF!,"")),"")</f>
      </c>
      <c r="AM58" s="19">
        <f>IFERROR(INDEX(#REF!,MATCH($D58,#REF!,"")),"")</f>
      </c>
      <c r="AN58" s="19">
        <f>IFERROR(INDEX(#REF!,MATCH($D58,#REF!,0)),"")</f>
      </c>
    </row>
    <row x14ac:dyDescent="0.25" r="59" customHeight="1" ht="18.75">
      <c r="A59" s="7">
        <v>101238757</v>
      </c>
      <c r="B59" s="8">
        <v>45902</v>
      </c>
      <c r="C59" s="9">
        <v>5.361111111111111</v>
      </c>
      <c r="D59" s="7">
        <v>119050</v>
      </c>
      <c r="E59" s="10">
        <v>879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19">
        <f>IFERROR(INDEX(#REF!,MATCH($D59,#REF!,"")),"")</f>
      </c>
      <c r="AL59" s="19">
        <f>IFERROR(INDEX(#REF!,MATCH($D59,#REF!,"")),"")</f>
      </c>
      <c r="AM59" s="19">
        <f>IFERROR(INDEX(#REF!,MATCH($D59,#REF!,"")),"")</f>
      </c>
      <c r="AN59" s="19">
        <f>IFERROR(INDEX(#REF!,MATCH($D59,#REF!,0)),"")</f>
      </c>
    </row>
    <row x14ac:dyDescent="0.25" r="60" customHeight="1" ht="18.75">
      <c r="A60" s="7">
        <v>101238751</v>
      </c>
      <c r="B60" s="8">
        <v>45902</v>
      </c>
      <c r="C60" s="9">
        <v>5.388888888888889</v>
      </c>
      <c r="D60" s="7">
        <v>102392</v>
      </c>
      <c r="E60" s="10">
        <v>237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19">
        <f>IFERROR(INDEX(#REF!,MATCH($D60,#REF!,"")),"")</f>
      </c>
      <c r="AL60" s="19">
        <f>IFERROR(INDEX(#REF!,MATCH($D60,#REF!,"")),"")</f>
      </c>
      <c r="AM60" s="19">
        <f>IFERROR(INDEX(#REF!,MATCH($D60,#REF!,"")),"")</f>
      </c>
      <c r="AN60" s="19">
        <f>IFERROR(INDEX(#REF!,MATCH($D60,#REF!,0)),"")</f>
      </c>
    </row>
    <row x14ac:dyDescent="0.25" r="61" customHeight="1" ht="18.75">
      <c r="A61" s="7">
        <v>101247730</v>
      </c>
      <c r="B61" s="8">
        <v>45902</v>
      </c>
      <c r="C61" s="9">
        <v>5.395833333333333</v>
      </c>
      <c r="D61" s="7">
        <v>102416</v>
      </c>
      <c r="E61" s="10">
        <v>313</v>
      </c>
      <c r="F61" s="6"/>
      <c r="G61" s="6"/>
      <c r="H61" s="6" t="s">
        <v>185</v>
      </c>
      <c r="I61" s="6" t="s">
        <v>186</v>
      </c>
      <c r="J61" s="6" t="s">
        <v>187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 t="s">
        <v>13</v>
      </c>
      <c r="AB61" s="6"/>
      <c r="AC61" s="6"/>
      <c r="AD61" s="6"/>
      <c r="AE61" s="6"/>
      <c r="AF61" s="6"/>
      <c r="AG61" s="6"/>
      <c r="AH61" s="6"/>
      <c r="AI61" s="6"/>
      <c r="AJ61" s="6"/>
      <c r="AK61" s="19">
        <f>IFERROR(INDEX(#REF!,MATCH($D61,#REF!,"")),"")</f>
      </c>
      <c r="AL61" s="19">
        <f>IFERROR(INDEX(#REF!,MATCH($D61,#REF!,"")),"")</f>
      </c>
      <c r="AM61" s="19">
        <f>IFERROR(INDEX(#REF!,MATCH($D61,#REF!,"")),"")</f>
      </c>
      <c r="AN61" s="19">
        <f>IFERROR(INDEX(#REF!,MATCH($D61,#REF!,0)),"")</f>
      </c>
    </row>
    <row x14ac:dyDescent="0.25" r="62" customHeight="1" ht="18.75">
      <c r="A62" s="7">
        <v>101238753</v>
      </c>
      <c r="B62" s="8">
        <v>45902</v>
      </c>
      <c r="C62" s="9">
        <v>5.402777777777778</v>
      </c>
      <c r="D62" s="7">
        <v>102460</v>
      </c>
      <c r="E62" s="10">
        <v>303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19">
        <f>IFERROR(INDEX(#REF!,MATCH($D62,#REF!,"")),"")</f>
      </c>
      <c r="AL62" s="19">
        <f>IFERROR(INDEX(#REF!,MATCH($D62,#REF!,"")),"")</f>
      </c>
      <c r="AM62" s="19">
        <f>IFERROR(INDEX(#REF!,MATCH($D62,#REF!,"")),"")</f>
      </c>
      <c r="AN62" s="19">
        <f>IFERROR(INDEX(#REF!,MATCH($D62,#REF!,0)),"")</f>
      </c>
    </row>
    <row x14ac:dyDescent="0.25" r="63" customHeight="1" ht="18.75">
      <c r="A63" s="7">
        <v>101238755</v>
      </c>
      <c r="B63" s="8">
        <v>45902</v>
      </c>
      <c r="C63" s="9">
        <v>5.416666666666667</v>
      </c>
      <c r="D63" s="7">
        <v>109409</v>
      </c>
      <c r="E63" s="10">
        <v>130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19">
        <f>IFERROR(INDEX(#REF!,MATCH($D63,#REF!,"")),"")</f>
      </c>
      <c r="AL63" s="19">
        <f>IFERROR(INDEX(#REF!,MATCH($D63,#REF!,"")),"")</f>
      </c>
      <c r="AM63" s="19">
        <f>IFERROR(INDEX(#REF!,MATCH($D63,#REF!,"")),"")</f>
      </c>
      <c r="AN63" s="19">
        <f>IFERROR(INDEX(#REF!,MATCH($D63,#REF!,0)),"")</f>
      </c>
    </row>
    <row x14ac:dyDescent="0.25" r="64" customHeight="1" ht="18.75">
      <c r="A64" s="7">
        <v>101238756</v>
      </c>
      <c r="B64" s="8">
        <v>45902</v>
      </c>
      <c r="C64" s="9">
        <v>5.430555555555555</v>
      </c>
      <c r="D64" s="7">
        <v>111403</v>
      </c>
      <c r="E64" s="10">
        <v>176</v>
      </c>
      <c r="F64" s="6"/>
      <c r="G64" s="6"/>
      <c r="H64" s="6" t="s">
        <v>14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 t="s">
        <v>14</v>
      </c>
      <c r="AB64" s="6"/>
      <c r="AC64" s="6"/>
      <c r="AD64" s="6"/>
      <c r="AE64" s="6"/>
      <c r="AF64" s="6"/>
      <c r="AG64" s="6"/>
      <c r="AH64" s="6"/>
      <c r="AI64" s="6"/>
      <c r="AJ64" s="6"/>
      <c r="AK64" s="19">
        <f>IFERROR(INDEX(#REF!,MATCH($D64,#REF!,"")),"")</f>
      </c>
      <c r="AL64" s="19">
        <f>IFERROR(INDEX(#REF!,MATCH($D64,#REF!,"")),"")</f>
      </c>
      <c r="AM64" s="19">
        <f>IFERROR(INDEX(#REF!,MATCH($D64,#REF!,"")),"")</f>
      </c>
      <c r="AN64" s="19">
        <f>IFERROR(INDEX(#REF!,MATCH($D64,#REF!,0)),"")</f>
      </c>
    </row>
    <row x14ac:dyDescent="0.25" r="65" customHeight="1" ht="18.75">
      <c r="A65" s="7">
        <v>101238760</v>
      </c>
      <c r="B65" s="8">
        <v>45902</v>
      </c>
      <c r="C65" s="9">
        <v>5.451388888888889</v>
      </c>
      <c r="D65" s="7">
        <v>102399</v>
      </c>
      <c r="E65" s="10">
        <v>142</v>
      </c>
      <c r="F65" s="6" t="s">
        <v>8</v>
      </c>
      <c r="G65" s="6"/>
      <c r="H65" s="6" t="s">
        <v>163</v>
      </c>
      <c r="I65" s="6" t="s">
        <v>169</v>
      </c>
      <c r="J65" s="6" t="s">
        <v>170</v>
      </c>
      <c r="K65" s="6" t="s">
        <v>175</v>
      </c>
      <c r="L65" s="6" t="s">
        <v>171</v>
      </c>
      <c r="M65" s="6" t="s">
        <v>145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 t="s">
        <v>12</v>
      </c>
      <c r="AB65" s="6"/>
      <c r="AC65" s="6"/>
      <c r="AD65" s="6"/>
      <c r="AE65" s="6"/>
      <c r="AF65" s="6"/>
      <c r="AG65" s="6"/>
      <c r="AH65" s="6"/>
      <c r="AI65" s="6"/>
      <c r="AJ65" s="6"/>
      <c r="AK65" s="19">
        <f>IFERROR(INDEX(#REF!,MATCH($D65,#REF!,"")),"")</f>
      </c>
      <c r="AL65" s="19">
        <f>IFERROR(INDEX(#REF!,MATCH($D65,#REF!,"")),"")</f>
      </c>
      <c r="AM65" s="19">
        <f>IFERROR(INDEX(#REF!,MATCH($D65,#REF!,"")),"")</f>
      </c>
      <c r="AN65" s="19">
        <f>IFERROR(INDEX(#REF!,MATCH($D65,#REF!,0)),"")</f>
      </c>
    </row>
    <row x14ac:dyDescent="0.25" r="66" customHeight="1" ht="18.75">
      <c r="A66" s="7">
        <v>101238761</v>
      </c>
      <c r="B66" s="8">
        <v>45902</v>
      </c>
      <c r="C66" s="9">
        <v>5.458333333333333</v>
      </c>
      <c r="D66" s="7">
        <v>109424</v>
      </c>
      <c r="E66" s="10">
        <v>336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9">
        <f>IFERROR(INDEX(#REF!,MATCH($D66,#REF!,"")),"")</f>
      </c>
      <c r="AL66" s="19">
        <f>IFERROR(INDEX(#REF!,MATCH($D66,#REF!,"")),"")</f>
      </c>
      <c r="AM66" s="19">
        <f>IFERROR(INDEX(#REF!,MATCH($D66,#REF!,"")),"")</f>
      </c>
      <c r="AN66" s="19">
        <f>IFERROR(INDEX(#REF!,MATCH($D66,#REF!,0)),"")</f>
      </c>
    </row>
    <row x14ac:dyDescent="0.25" r="67" customHeight="1" ht="18.75">
      <c r="A67" s="7">
        <v>101238762</v>
      </c>
      <c r="B67" s="8">
        <v>45902</v>
      </c>
      <c r="C67" s="9">
        <v>5.465277777777778</v>
      </c>
      <c r="D67" s="7">
        <v>102323</v>
      </c>
      <c r="E67" s="10">
        <v>254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9">
        <f>IFERROR(INDEX(#REF!,MATCH($D67,#REF!,"")),"")</f>
      </c>
      <c r="AL67" s="19">
        <f>IFERROR(INDEX(#REF!,MATCH($D67,#REF!,"")),"")</f>
      </c>
      <c r="AM67" s="19">
        <f>IFERROR(INDEX(#REF!,MATCH($D67,#REF!,"")),"")</f>
      </c>
      <c r="AN67" s="19">
        <f>IFERROR(INDEX(#REF!,MATCH($D67,#REF!,0)),"")</f>
      </c>
    </row>
    <row x14ac:dyDescent="0.25" r="68" customHeight="1" ht="18.75">
      <c r="A68" s="7">
        <v>101242665</v>
      </c>
      <c r="B68" s="8">
        <v>45902</v>
      </c>
      <c r="C68" s="9">
        <v>5.465277777777778</v>
      </c>
      <c r="D68" s="7">
        <v>118398</v>
      </c>
      <c r="E68" s="10">
        <v>457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9">
        <f>IFERROR(INDEX(#REF!,MATCH($D68,#REF!,"")),"")</f>
      </c>
      <c r="AL68" s="19">
        <f>IFERROR(INDEX(#REF!,MATCH($D68,#REF!,"")),"")</f>
      </c>
      <c r="AM68" s="19">
        <f>IFERROR(INDEX(#REF!,MATCH($D68,#REF!,"")),"")</f>
      </c>
      <c r="AN68" s="19">
        <f>IFERROR(INDEX(#REF!,MATCH($D68,#REF!,0)),"")</f>
      </c>
    </row>
    <row x14ac:dyDescent="0.25" r="69" customHeight="1" ht="18.75">
      <c r="A69" s="7">
        <v>101238763</v>
      </c>
      <c r="B69" s="8">
        <v>45902</v>
      </c>
      <c r="C69" s="9">
        <v>5.472222222222222</v>
      </c>
      <c r="D69" s="7">
        <v>102270</v>
      </c>
      <c r="E69" s="10">
        <v>50</v>
      </c>
      <c r="F69" s="6" t="s">
        <v>8</v>
      </c>
      <c r="G69" s="6"/>
      <c r="H69" s="6" t="s">
        <v>163</v>
      </c>
      <c r="I69" s="6" t="s">
        <v>169</v>
      </c>
      <c r="J69" s="6" t="s">
        <v>170</v>
      </c>
      <c r="K69" s="6" t="s">
        <v>175</v>
      </c>
      <c r="L69" s="6" t="s">
        <v>171</v>
      </c>
      <c r="M69" s="6" t="s">
        <v>145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 t="s">
        <v>12</v>
      </c>
      <c r="AB69" s="6"/>
      <c r="AC69" s="6"/>
      <c r="AD69" s="6"/>
      <c r="AE69" s="6"/>
      <c r="AF69" s="6"/>
      <c r="AG69" s="6"/>
      <c r="AH69" s="6"/>
      <c r="AI69" s="6"/>
      <c r="AJ69" s="6"/>
      <c r="AK69" s="19">
        <f>IFERROR(INDEX(#REF!,MATCH($D69,#REF!,"")),"")</f>
      </c>
      <c r="AL69" s="19">
        <f>IFERROR(INDEX(#REF!,MATCH($D69,#REF!,"")),"")</f>
      </c>
      <c r="AM69" s="19">
        <f>IFERROR(INDEX(#REF!,MATCH($D69,#REF!,"")),"")</f>
      </c>
      <c r="AN69" s="19">
        <f>IFERROR(INDEX(#REF!,MATCH($D69,#REF!,0)),"")</f>
      </c>
    </row>
    <row x14ac:dyDescent="0.25" r="70" customHeight="1" ht="18.75">
      <c r="A70" s="7">
        <v>101238768</v>
      </c>
      <c r="B70" s="8">
        <v>45902</v>
      </c>
      <c r="C70" s="9">
        <v>5.506944444444445</v>
      </c>
      <c r="D70" s="7">
        <v>102251</v>
      </c>
      <c r="E70" s="10">
        <v>57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19">
        <f>IFERROR(INDEX(#REF!,MATCH($D70,#REF!,"")),"")</f>
      </c>
      <c r="AL70" s="19">
        <f>IFERROR(INDEX(#REF!,MATCH($D70,#REF!,"")),"")</f>
      </c>
      <c r="AM70" s="19">
        <f>IFERROR(INDEX(#REF!,MATCH($D70,#REF!,"")),"")</f>
      </c>
      <c r="AN70" s="19">
        <f>IFERROR(INDEX(#REF!,MATCH($D70,#REF!,0)),"")</f>
      </c>
    </row>
    <row x14ac:dyDescent="0.25" r="71" customHeight="1" ht="18.75">
      <c r="A71" s="7">
        <v>101238769</v>
      </c>
      <c r="B71" s="8">
        <v>45902</v>
      </c>
      <c r="C71" s="9">
        <v>5.513888888888889</v>
      </c>
      <c r="D71" s="7">
        <v>112391</v>
      </c>
      <c r="E71" s="10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19">
        <f>IFERROR(INDEX(#REF!,MATCH($D71,#REF!,"")),"")</f>
      </c>
      <c r="AL71" s="19">
        <f>IFERROR(INDEX(#REF!,MATCH($D71,#REF!,"")),"")</f>
      </c>
      <c r="AM71" s="19">
        <f>IFERROR(INDEX(#REF!,MATCH($D71,#REF!,"")),"")</f>
      </c>
      <c r="AN71" s="19">
        <f>IFERROR(INDEX(#REF!,MATCH($D71,#REF!,0)),"")</f>
      </c>
    </row>
    <row x14ac:dyDescent="0.25" r="72" customHeight="1" ht="18.75">
      <c r="A72" s="11">
        <v>123212211</v>
      </c>
      <c r="B72" s="8">
        <v>45902</v>
      </c>
      <c r="C72" s="12">
        <v>5.520833333333333</v>
      </c>
      <c r="D72" s="11">
        <v>102248</v>
      </c>
      <c r="E72" s="10">
        <v>259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19">
        <f>IFERROR(INDEX(#REF!,MATCH($D72,#REF!,"")),"")</f>
      </c>
      <c r="AL72" s="19">
        <f>IFERROR(INDEX(#REF!,MATCH($D72,#REF!,"")),"")</f>
      </c>
      <c r="AM72" s="19">
        <f>IFERROR(INDEX(#REF!,MATCH($D72,#REF!,"")),"")</f>
      </c>
      <c r="AN72" s="19">
        <f>IFERROR(INDEX(#REF!,MATCH($D72,#REF!,0)),"")</f>
      </c>
    </row>
    <row x14ac:dyDescent="0.25" r="73" customHeight="1" ht="18.75">
      <c r="A73" s="11">
        <v>112332154</v>
      </c>
      <c r="B73" s="8">
        <v>45902</v>
      </c>
      <c r="C73" s="12">
        <v>5.527777777777778</v>
      </c>
      <c r="D73" s="11">
        <v>102252</v>
      </c>
      <c r="E73" s="10">
        <v>135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19">
        <f>IFERROR(INDEX(#REF!,MATCH($D73,#REF!,"")),"")</f>
      </c>
      <c r="AL73" s="19">
        <f>IFERROR(INDEX(#REF!,MATCH($D73,#REF!,"")),"")</f>
      </c>
      <c r="AM73" s="19">
        <f>IFERROR(INDEX(#REF!,MATCH($D73,#REF!,"")),"")</f>
      </c>
      <c r="AN73" s="19">
        <f>IFERROR(INDEX(#REF!,MATCH($D73,#REF!,0)),"")</f>
      </c>
    </row>
    <row x14ac:dyDescent="0.25" r="74" customHeight="1" ht="18.75">
      <c r="A74" s="11">
        <v>101238754</v>
      </c>
      <c r="B74" s="8">
        <v>45902</v>
      </c>
      <c r="C74" s="12">
        <v>5.409722222222222</v>
      </c>
      <c r="D74" s="11">
        <v>106580</v>
      </c>
      <c r="E74" s="10">
        <v>65</v>
      </c>
      <c r="F74" s="6" t="s">
        <v>8</v>
      </c>
      <c r="G74" s="6"/>
      <c r="H74" s="6" t="s">
        <v>163</v>
      </c>
      <c r="I74" s="6" t="s">
        <v>169</v>
      </c>
      <c r="J74" s="6" t="s">
        <v>170</v>
      </c>
      <c r="K74" s="6" t="s">
        <v>175</v>
      </c>
      <c r="L74" s="6" t="s">
        <v>171</v>
      </c>
      <c r="M74" s="6" t="s">
        <v>145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 t="s">
        <v>12</v>
      </c>
      <c r="AB74" s="6"/>
      <c r="AC74" s="6"/>
      <c r="AD74" s="6"/>
      <c r="AE74" s="6"/>
      <c r="AF74" s="6"/>
      <c r="AG74" s="6"/>
      <c r="AH74" s="6"/>
      <c r="AI74" s="6"/>
      <c r="AJ74" s="6"/>
      <c r="AK74" s="19">
        <f>IFERROR(INDEX(#REF!,MATCH($D74,#REF!,"")),"")</f>
      </c>
      <c r="AL74" s="19">
        <f>IFERROR(INDEX(#REF!,MATCH($D74,#REF!,"")),"")</f>
      </c>
      <c r="AM74" s="19">
        <f>IFERROR(INDEX(#REF!,MATCH($D74,#REF!,"")),"")</f>
      </c>
      <c r="AN74" s="19">
        <f>IFERROR(INDEX(#REF!,MATCH($D74,#REF!,0)),"")</f>
      </c>
    </row>
    <row x14ac:dyDescent="0.25" r="75" customHeight="1" ht="18.75">
      <c r="A75" s="11">
        <v>101238758</v>
      </c>
      <c r="B75" s="8">
        <v>45902</v>
      </c>
      <c r="C75" s="12">
        <v>5.444444444444445</v>
      </c>
      <c r="D75" s="11">
        <v>120423</v>
      </c>
      <c r="E75" s="10">
        <v>720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19">
        <f>IFERROR(INDEX(#REF!,MATCH($D75,#REF!,"")),"")</f>
      </c>
      <c r="AL75" s="19">
        <f>IFERROR(INDEX(#REF!,MATCH($D75,#REF!,"")),"")</f>
      </c>
      <c r="AM75" s="19">
        <f>IFERROR(INDEX(#REF!,MATCH($D75,#REF!,"")),"")</f>
      </c>
      <c r="AN75" s="19">
        <f>IFERROR(INDEX(#REF!,MATCH($D75,#REF!,0)),"")</f>
      </c>
    </row>
    <row x14ac:dyDescent="0.25" r="76" customHeight="1" ht="18.75">
      <c r="A76" s="7">
        <v>101239170</v>
      </c>
      <c r="B76" s="8">
        <v>45903</v>
      </c>
      <c r="C76" s="9">
        <v>5.444444444444445</v>
      </c>
      <c r="D76" s="7">
        <v>102739</v>
      </c>
      <c r="E76" s="10">
        <v>177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19">
        <f>IFERROR(INDEX(#REF!,MATCH($D76,#REF!,"")),"")</f>
      </c>
      <c r="AL76" s="19">
        <f>IFERROR(INDEX(#REF!,MATCH($D76,#REF!,"")),"")</f>
      </c>
      <c r="AM76" s="19">
        <f>IFERROR(INDEX(#REF!,MATCH($D76,#REF!,"")),"")</f>
      </c>
      <c r="AN76" s="19">
        <f>IFERROR(INDEX(#REF!,MATCH($D76,#REF!,0)),"")</f>
      </c>
    </row>
    <row x14ac:dyDescent="0.25" r="77" customHeight="1" ht="18.75">
      <c r="A77" s="7">
        <v>101239157</v>
      </c>
      <c r="B77" s="8">
        <v>45903</v>
      </c>
      <c r="C77" s="9">
        <v>5.361111111111111</v>
      </c>
      <c r="D77" s="7">
        <v>102199</v>
      </c>
      <c r="E77" s="10">
        <v>488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19">
        <f>IFERROR(INDEX(#REF!,MATCH($D77,#REF!,"")),"")</f>
      </c>
      <c r="AL77" s="19">
        <f>IFERROR(INDEX(#REF!,MATCH($D77,#REF!,"")),"")</f>
      </c>
      <c r="AM77" s="19">
        <f>IFERROR(INDEX(#REF!,MATCH($D77,#REF!,"")),"")</f>
      </c>
      <c r="AN77" s="19">
        <f>IFERROR(INDEX(#REF!,MATCH($D77,#REF!,0)),"")</f>
      </c>
    </row>
    <row x14ac:dyDescent="0.25" r="78" customHeight="1" ht="18.75">
      <c r="A78" s="7">
        <v>101238319</v>
      </c>
      <c r="B78" s="8">
        <v>45903</v>
      </c>
      <c r="C78" s="9">
        <v>5.361111111111111</v>
      </c>
      <c r="D78" s="7">
        <v>114200</v>
      </c>
      <c r="E78" s="10">
        <v>251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19">
        <f>IFERROR(INDEX(#REF!,MATCH($D78,#REF!,"")),"")</f>
      </c>
      <c r="AL78" s="19">
        <f>IFERROR(INDEX(#REF!,MATCH($D78,#REF!,"")),"")</f>
      </c>
      <c r="AM78" s="19">
        <f>IFERROR(INDEX(#REF!,MATCH($D78,#REF!,"")),"")</f>
      </c>
      <c r="AN78" s="19">
        <f>IFERROR(INDEX(#REF!,MATCH($D78,#REF!,0)),"")</f>
      </c>
    </row>
    <row x14ac:dyDescent="0.25" r="79" customHeight="1" ht="18.75">
      <c r="A79" s="7">
        <v>101239158</v>
      </c>
      <c r="B79" s="8">
        <v>45903</v>
      </c>
      <c r="C79" s="9">
        <v>5.368055555555555</v>
      </c>
      <c r="D79" s="7">
        <v>102285</v>
      </c>
      <c r="E79" s="10">
        <v>75</v>
      </c>
      <c r="F79" s="6"/>
      <c r="G79" s="6" t="s">
        <v>8</v>
      </c>
      <c r="H79" s="6" t="s">
        <v>15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 t="s">
        <v>15</v>
      </c>
      <c r="AB79" s="6"/>
      <c r="AC79" s="6"/>
      <c r="AD79" s="6"/>
      <c r="AE79" s="6"/>
      <c r="AF79" s="6"/>
      <c r="AG79" s="6"/>
      <c r="AH79" s="6"/>
      <c r="AI79" s="6"/>
      <c r="AJ79" s="6"/>
      <c r="AK79" s="19">
        <f>IFERROR(INDEX(#REF!,MATCH($D79,#REF!,"")),"")</f>
      </c>
      <c r="AL79" s="19">
        <f>IFERROR(INDEX(#REF!,MATCH($D79,#REF!,"")),"")</f>
      </c>
      <c r="AM79" s="19">
        <f>IFERROR(INDEX(#REF!,MATCH($D79,#REF!,"")),"")</f>
      </c>
      <c r="AN79" s="19">
        <f>IFERROR(INDEX(#REF!,MATCH($D79,#REF!,0)),"")</f>
      </c>
    </row>
    <row x14ac:dyDescent="0.25" r="80" customHeight="1" ht="18.75">
      <c r="A80" s="7">
        <v>101239160</v>
      </c>
      <c r="B80" s="8">
        <v>45903</v>
      </c>
      <c r="C80" s="9">
        <v>5.375</v>
      </c>
      <c r="D80" s="7">
        <v>102324</v>
      </c>
      <c r="E80" s="10">
        <v>349</v>
      </c>
      <c r="F80" s="6" t="s">
        <v>8</v>
      </c>
      <c r="G80" s="6"/>
      <c r="H80" s="6" t="s">
        <v>73</v>
      </c>
      <c r="I80" s="6" t="s">
        <v>167</v>
      </c>
      <c r="J80" s="6" t="s">
        <v>133</v>
      </c>
      <c r="K80" s="6" t="s">
        <v>188</v>
      </c>
      <c r="L80" s="6" t="s">
        <v>168</v>
      </c>
      <c r="M80" s="6" t="s">
        <v>169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 t="s">
        <v>16</v>
      </c>
      <c r="AB80" s="6"/>
      <c r="AC80" s="6"/>
      <c r="AD80" s="6"/>
      <c r="AE80" s="6"/>
      <c r="AF80" s="6"/>
      <c r="AG80" s="6"/>
      <c r="AH80" s="6"/>
      <c r="AI80" s="6"/>
      <c r="AJ80" s="6"/>
      <c r="AK80" s="19">
        <f>IFERROR(INDEX(#REF!,MATCH($D80,#REF!,"")),"")</f>
      </c>
      <c r="AL80" s="19">
        <f>IFERROR(INDEX(#REF!,MATCH($D80,#REF!,"")),"")</f>
      </c>
      <c r="AM80" s="19">
        <f>IFERROR(INDEX(#REF!,MATCH($D80,#REF!,"")),"")</f>
      </c>
      <c r="AN80" s="19">
        <f>IFERROR(INDEX(#REF!,MATCH($D80,#REF!,0)),"")</f>
      </c>
    </row>
    <row x14ac:dyDescent="0.25" r="81" customHeight="1" ht="18.75">
      <c r="A81" s="7">
        <v>101239161</v>
      </c>
      <c r="B81" s="8">
        <v>45903</v>
      </c>
      <c r="C81" s="9">
        <v>5.381944444444445</v>
      </c>
      <c r="D81" s="7">
        <v>102335</v>
      </c>
      <c r="E81" s="10">
        <v>197</v>
      </c>
      <c r="F81" s="6" t="s">
        <v>8</v>
      </c>
      <c r="G81" s="6"/>
      <c r="H81" s="6" t="s">
        <v>163</v>
      </c>
      <c r="I81" s="6" t="s">
        <v>169</v>
      </c>
      <c r="J81" s="6" t="s">
        <v>170</v>
      </c>
      <c r="K81" s="6" t="s">
        <v>171</v>
      </c>
      <c r="L81" s="6" t="s">
        <v>145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 t="s">
        <v>11</v>
      </c>
      <c r="AB81" s="6"/>
      <c r="AC81" s="6"/>
      <c r="AD81" s="6"/>
      <c r="AE81" s="6"/>
      <c r="AF81" s="6"/>
      <c r="AG81" s="6"/>
      <c r="AH81" s="6"/>
      <c r="AI81" s="6"/>
      <c r="AJ81" s="6"/>
      <c r="AK81" s="19">
        <f>IFERROR(INDEX(#REF!,MATCH($D81,#REF!,"")),"")</f>
      </c>
      <c r="AL81" s="19">
        <f>IFERROR(INDEX(#REF!,MATCH($D81,#REF!,"")),"")</f>
      </c>
      <c r="AM81" s="19">
        <f>IFERROR(INDEX(#REF!,MATCH($D81,#REF!,"")),"")</f>
      </c>
      <c r="AN81" s="19">
        <f>IFERROR(INDEX(#REF!,MATCH($D81,#REF!,0)),"")</f>
      </c>
    </row>
    <row x14ac:dyDescent="0.25" r="82" customHeight="1" ht="18.75">
      <c r="A82" s="7">
        <v>101239162</v>
      </c>
      <c r="B82" s="8">
        <v>45903</v>
      </c>
      <c r="C82" s="9">
        <v>5.388888888888889</v>
      </c>
      <c r="D82" s="7">
        <v>102342</v>
      </c>
      <c r="E82" s="10">
        <v>155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19">
        <f>IFERROR(INDEX(#REF!,MATCH($D82,#REF!,"")),"")</f>
      </c>
      <c r="AL82" s="19">
        <f>IFERROR(INDEX(#REF!,MATCH($D82,#REF!,"")),"")</f>
      </c>
      <c r="AM82" s="19">
        <f>IFERROR(INDEX(#REF!,MATCH($D82,#REF!,"")),"")</f>
      </c>
      <c r="AN82" s="19">
        <f>IFERROR(INDEX(#REF!,MATCH($D82,#REF!,0)),"")</f>
      </c>
    </row>
    <row x14ac:dyDescent="0.25" r="83" customHeight="1" ht="18.75">
      <c r="A83" s="7">
        <v>101239163</v>
      </c>
      <c r="B83" s="8">
        <v>45903</v>
      </c>
      <c r="C83" s="9">
        <v>5.395833333333333</v>
      </c>
      <c r="D83" s="7">
        <v>102379</v>
      </c>
      <c r="E83" s="10">
        <v>198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19">
        <f>IFERROR(INDEX(#REF!,MATCH($D83,#REF!,"")),"")</f>
      </c>
      <c r="AL83" s="19">
        <f>IFERROR(INDEX(#REF!,MATCH($D83,#REF!,"")),"")</f>
      </c>
      <c r="AM83" s="19">
        <f>IFERROR(INDEX(#REF!,MATCH($D83,#REF!,"")),"")</f>
      </c>
      <c r="AN83" s="19">
        <f>IFERROR(INDEX(#REF!,MATCH($D83,#REF!,0)),"")</f>
      </c>
    </row>
    <row x14ac:dyDescent="0.25" r="84" customHeight="1" ht="18.75">
      <c r="A84" s="7">
        <v>101239164</v>
      </c>
      <c r="B84" s="8">
        <v>45903</v>
      </c>
      <c r="C84" s="9">
        <v>5.402777777777778</v>
      </c>
      <c r="D84" s="7">
        <v>102400</v>
      </c>
      <c r="E84" s="10">
        <v>214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19">
        <f>IFERROR(INDEX(#REF!,MATCH($D84,#REF!,"")),"")</f>
      </c>
      <c r="AL84" s="19">
        <f>IFERROR(INDEX(#REF!,MATCH($D84,#REF!,"")),"")</f>
      </c>
      <c r="AM84" s="19">
        <f>IFERROR(INDEX(#REF!,MATCH($D84,#REF!,"")),"")</f>
      </c>
      <c r="AN84" s="19">
        <f>IFERROR(INDEX(#REF!,MATCH($D84,#REF!,0)),"")</f>
      </c>
    </row>
    <row x14ac:dyDescent="0.25" r="85" customHeight="1" ht="18.75">
      <c r="A85" s="7">
        <v>101239165</v>
      </c>
      <c r="B85" s="8">
        <v>45903</v>
      </c>
      <c r="C85" s="9">
        <v>5.409722222222222</v>
      </c>
      <c r="D85" s="7">
        <v>102408</v>
      </c>
      <c r="E85" s="10">
        <v>168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19">
        <f>IFERROR(INDEX(#REF!,MATCH($D85,#REF!,"")),"")</f>
      </c>
      <c r="AL85" s="19">
        <f>IFERROR(INDEX(#REF!,MATCH($D85,#REF!,"")),"")</f>
      </c>
      <c r="AM85" s="19">
        <f>IFERROR(INDEX(#REF!,MATCH($D85,#REF!,"")),"")</f>
      </c>
      <c r="AN85" s="19">
        <f>IFERROR(INDEX(#REF!,MATCH($D85,#REF!,0)),"")</f>
      </c>
    </row>
    <row x14ac:dyDescent="0.25" r="86" customHeight="1" ht="18.75">
      <c r="A86" s="7">
        <v>101239173</v>
      </c>
      <c r="B86" s="8">
        <v>45903</v>
      </c>
      <c r="C86" s="9">
        <v>5.416666666666667</v>
      </c>
      <c r="D86" s="7">
        <v>102573</v>
      </c>
      <c r="E86" s="10">
        <v>86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19">
        <f>IFERROR(INDEX(#REF!,MATCH($D86,#REF!,"")),"")</f>
      </c>
      <c r="AL86" s="19">
        <f>IFERROR(INDEX(#REF!,MATCH($D86,#REF!,"")),"")</f>
      </c>
      <c r="AM86" s="19">
        <f>IFERROR(INDEX(#REF!,MATCH($D86,#REF!,"")),"")</f>
      </c>
      <c r="AN86" s="19">
        <f>IFERROR(INDEX(#REF!,MATCH($D86,#REF!,0)),"")</f>
      </c>
    </row>
    <row x14ac:dyDescent="0.25" r="87" customHeight="1" ht="18.75">
      <c r="A87" s="7">
        <v>101239169</v>
      </c>
      <c r="B87" s="8">
        <v>45903</v>
      </c>
      <c r="C87" s="9">
        <v>5.4375</v>
      </c>
      <c r="D87" s="7">
        <v>114006</v>
      </c>
      <c r="E87" s="10">
        <v>65</v>
      </c>
      <c r="F87" s="6" t="s">
        <v>8</v>
      </c>
      <c r="G87" s="6" t="s">
        <v>8</v>
      </c>
      <c r="H87" s="6" t="s">
        <v>163</v>
      </c>
      <c r="I87" s="6" t="s">
        <v>15</v>
      </c>
      <c r="J87" s="6" t="s">
        <v>169</v>
      </c>
      <c r="K87" s="6" t="s">
        <v>170</v>
      </c>
      <c r="L87" s="6" t="s">
        <v>175</v>
      </c>
      <c r="M87" s="6" t="s">
        <v>171</v>
      </c>
      <c r="N87" s="6" t="s">
        <v>145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 t="s">
        <v>17</v>
      </c>
      <c r="AB87" s="6"/>
      <c r="AC87" s="6"/>
      <c r="AD87" s="6"/>
      <c r="AE87" s="6"/>
      <c r="AF87" s="6"/>
      <c r="AG87" s="6"/>
      <c r="AH87" s="6"/>
      <c r="AI87" s="6"/>
      <c r="AJ87" s="6"/>
      <c r="AK87" s="19">
        <f>IFERROR(INDEX(#REF!,MATCH($D87,#REF!,"")),"")</f>
      </c>
      <c r="AL87" s="19">
        <f>IFERROR(INDEX(#REF!,MATCH($D87,#REF!,"")),"")</f>
      </c>
      <c r="AM87" s="19">
        <f>IFERROR(INDEX(#REF!,MATCH($D87,#REF!,"")),"")</f>
      </c>
      <c r="AN87" s="19">
        <f>IFERROR(INDEX(#REF!,MATCH($D87,#REF!,0)),"")</f>
      </c>
    </row>
    <row x14ac:dyDescent="0.25" r="88" customHeight="1" ht="18.75">
      <c r="A88" s="7">
        <v>101239172</v>
      </c>
      <c r="B88" s="8">
        <v>45903</v>
      </c>
      <c r="C88" s="9">
        <v>5.458333333333333</v>
      </c>
      <c r="D88" s="7">
        <v>114367</v>
      </c>
      <c r="E88" s="10">
        <v>70</v>
      </c>
      <c r="F88" s="6"/>
      <c r="G88" s="6"/>
      <c r="H88" s="6" t="s">
        <v>18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 t="s">
        <v>18</v>
      </c>
      <c r="AB88" s="6"/>
      <c r="AC88" s="6"/>
      <c r="AD88" s="6"/>
      <c r="AE88" s="6"/>
      <c r="AF88" s="6"/>
      <c r="AG88" s="6"/>
      <c r="AH88" s="6"/>
      <c r="AI88" s="6"/>
      <c r="AJ88" s="6"/>
      <c r="AK88" s="19">
        <f>IFERROR(INDEX(#REF!,MATCH($D88,#REF!,"")),"")</f>
      </c>
      <c r="AL88" s="19">
        <f>IFERROR(INDEX(#REF!,MATCH($D88,#REF!,"")),"")</f>
      </c>
      <c r="AM88" s="19">
        <f>IFERROR(INDEX(#REF!,MATCH($D88,#REF!,"")),"")</f>
      </c>
      <c r="AN88" s="19">
        <f>IFERROR(INDEX(#REF!,MATCH($D88,#REF!,0)),"")</f>
      </c>
    </row>
    <row x14ac:dyDescent="0.25" r="89" customHeight="1" ht="18.75">
      <c r="A89" s="7">
        <v>101239174</v>
      </c>
      <c r="B89" s="8">
        <v>45903</v>
      </c>
      <c r="C89" s="9">
        <v>5.465277777777778</v>
      </c>
      <c r="D89" s="7">
        <v>116782</v>
      </c>
      <c r="E89" s="10">
        <v>210</v>
      </c>
      <c r="F89" s="6"/>
      <c r="G89" s="6"/>
      <c r="H89" s="6" t="s">
        <v>18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 t="s">
        <v>18</v>
      </c>
      <c r="AB89" s="6"/>
      <c r="AC89" s="6"/>
      <c r="AD89" s="6"/>
      <c r="AE89" s="6"/>
      <c r="AF89" s="6"/>
      <c r="AG89" s="6"/>
      <c r="AH89" s="6"/>
      <c r="AI89" s="6"/>
      <c r="AJ89" s="6"/>
      <c r="AK89" s="19">
        <f>IFERROR(INDEX(#REF!,MATCH($D89,#REF!,"")),"")</f>
      </c>
      <c r="AL89" s="19">
        <f>IFERROR(INDEX(#REF!,MATCH($D89,#REF!,"")),"")</f>
      </c>
      <c r="AM89" s="19">
        <f>IFERROR(INDEX(#REF!,MATCH($D89,#REF!,"")),"")</f>
      </c>
      <c r="AN89" s="19">
        <f>IFERROR(INDEX(#REF!,MATCH($D89,#REF!,0)),"")</f>
      </c>
    </row>
    <row x14ac:dyDescent="0.25" r="90" customHeight="1" ht="18.75">
      <c r="A90" s="7">
        <v>101239175</v>
      </c>
      <c r="B90" s="8">
        <v>45903</v>
      </c>
      <c r="C90" s="9">
        <v>5.472222222222222</v>
      </c>
      <c r="D90" s="7">
        <v>120479</v>
      </c>
      <c r="E90" s="10">
        <v>1002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19">
        <f>IFERROR(INDEX(#REF!,MATCH($D90,#REF!,"")),"")</f>
      </c>
      <c r="AL90" s="19">
        <f>IFERROR(INDEX(#REF!,MATCH($D90,#REF!,"")),"")</f>
      </c>
      <c r="AM90" s="19">
        <f>IFERROR(INDEX(#REF!,MATCH($D90,#REF!,"")),"")</f>
      </c>
      <c r="AN90" s="19">
        <f>IFERROR(INDEX(#REF!,MATCH($D90,#REF!,0)),"")</f>
      </c>
    </row>
    <row x14ac:dyDescent="0.25" r="91" customHeight="1" ht="18.75">
      <c r="A91" s="7">
        <v>101239176</v>
      </c>
      <c r="B91" s="8">
        <v>45903</v>
      </c>
      <c r="C91" s="9">
        <v>5.479166666666667</v>
      </c>
      <c r="D91" s="7">
        <v>102328</v>
      </c>
      <c r="E91" s="10">
        <v>87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19">
        <f>IFERROR(INDEX(#REF!,MATCH($D91,#REF!,"")),"")</f>
      </c>
      <c r="AL91" s="19">
        <f>IFERROR(INDEX(#REF!,MATCH($D91,#REF!,"")),"")</f>
      </c>
      <c r="AM91" s="19">
        <f>IFERROR(INDEX(#REF!,MATCH($D91,#REF!,"")),"")</f>
      </c>
      <c r="AN91" s="19">
        <f>IFERROR(INDEX(#REF!,MATCH($D91,#REF!,0)),"")</f>
      </c>
    </row>
    <row x14ac:dyDescent="0.25" r="92" customHeight="1" ht="18.75">
      <c r="A92" s="7">
        <v>101239177</v>
      </c>
      <c r="B92" s="8">
        <v>45903</v>
      </c>
      <c r="C92" s="9">
        <v>5.486111111111111</v>
      </c>
      <c r="D92" s="7">
        <v>102504</v>
      </c>
      <c r="E92" s="10">
        <v>246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19">
        <f>IFERROR(INDEX(#REF!,MATCH($D92,#REF!,"")),"")</f>
      </c>
      <c r="AL92" s="19">
        <f>IFERROR(INDEX(#REF!,MATCH($D92,#REF!,"")),"")</f>
      </c>
      <c r="AM92" s="19">
        <f>IFERROR(INDEX(#REF!,MATCH($D92,#REF!,"")),"")</f>
      </c>
      <c r="AN92" s="19">
        <f>IFERROR(INDEX(#REF!,MATCH($D92,#REF!,0)),"")</f>
      </c>
    </row>
    <row x14ac:dyDescent="0.25" r="93" customHeight="1" ht="18.75">
      <c r="A93" s="7">
        <v>101241563</v>
      </c>
      <c r="B93" s="8">
        <v>45903</v>
      </c>
      <c r="C93" s="9">
        <v>5.486111111111111</v>
      </c>
      <c r="D93" s="7">
        <v>117947</v>
      </c>
      <c r="E93" s="10">
        <v>108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19">
        <f>IFERROR(INDEX(#REF!,MATCH($D93,#REF!,"")),"")</f>
      </c>
      <c r="AL93" s="19">
        <f>IFERROR(INDEX(#REF!,MATCH($D93,#REF!,"")),"")</f>
      </c>
      <c r="AM93" s="19">
        <f>IFERROR(INDEX(#REF!,MATCH($D93,#REF!,"")),"")</f>
      </c>
      <c r="AN93" s="19">
        <f>IFERROR(INDEX(#REF!,MATCH($D93,#REF!,0)),"")</f>
      </c>
    </row>
    <row x14ac:dyDescent="0.25" r="94" customHeight="1" ht="18.75">
      <c r="A94" s="7">
        <v>101239178</v>
      </c>
      <c r="B94" s="8">
        <v>45903</v>
      </c>
      <c r="C94" s="9">
        <v>5.493055555555555</v>
      </c>
      <c r="D94" s="7">
        <v>102575</v>
      </c>
      <c r="E94" s="10">
        <v>241</v>
      </c>
      <c r="F94" s="6"/>
      <c r="G94" s="6"/>
      <c r="H94" s="6" t="s">
        <v>18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 t="s">
        <v>18</v>
      </c>
      <c r="AB94" s="6"/>
      <c r="AC94" s="6"/>
      <c r="AD94" s="6"/>
      <c r="AE94" s="6"/>
      <c r="AF94" s="6"/>
      <c r="AG94" s="6"/>
      <c r="AH94" s="6"/>
      <c r="AI94" s="6"/>
      <c r="AJ94" s="6"/>
      <c r="AK94" s="19">
        <f>IFERROR(INDEX(#REF!,MATCH($D94,#REF!,"")),"")</f>
      </c>
      <c r="AL94" s="19">
        <f>IFERROR(INDEX(#REF!,MATCH($D94,#REF!,"")),"")</f>
      </c>
      <c r="AM94" s="19">
        <f>IFERROR(INDEX(#REF!,MATCH($D94,#REF!,"")),"")</f>
      </c>
      <c r="AN94" s="19">
        <f>IFERROR(INDEX(#REF!,MATCH($D94,#REF!,0)),"")</f>
      </c>
    </row>
    <row x14ac:dyDescent="0.25" r="95" customHeight="1" ht="18.75">
      <c r="A95" s="7">
        <v>101239179</v>
      </c>
      <c r="B95" s="8">
        <v>45903</v>
      </c>
      <c r="C95" s="9">
        <v>5.5</v>
      </c>
      <c r="D95" s="7">
        <v>113623</v>
      </c>
      <c r="E95" s="10">
        <v>347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19">
        <f>IFERROR(INDEX(#REF!,MATCH($D95,#REF!,"")),"")</f>
      </c>
      <c r="AL95" s="19">
        <f>IFERROR(INDEX(#REF!,MATCH($D95,#REF!,"")),"")</f>
      </c>
      <c r="AM95" s="19">
        <f>IFERROR(INDEX(#REF!,MATCH($D95,#REF!,"")),"")</f>
      </c>
      <c r="AN95" s="19">
        <f>IFERROR(INDEX(#REF!,MATCH($D95,#REF!,0)),"")</f>
      </c>
    </row>
    <row x14ac:dyDescent="0.25" r="96" customHeight="1" ht="18.75">
      <c r="A96" s="7">
        <v>101239182</v>
      </c>
      <c r="B96" s="8">
        <v>45903</v>
      </c>
      <c r="C96" s="9">
        <v>5.513888888888889</v>
      </c>
      <c r="D96" s="7">
        <v>102456</v>
      </c>
      <c r="E96" s="10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19">
        <f>IFERROR(INDEX(#REF!,MATCH($D96,#REF!,"")),"")</f>
      </c>
      <c r="AL96" s="19">
        <f>IFERROR(INDEX(#REF!,MATCH($D96,#REF!,"")),"")</f>
      </c>
      <c r="AM96" s="19">
        <f>IFERROR(INDEX(#REF!,MATCH($D96,#REF!,"")),"")</f>
      </c>
      <c r="AN96" s="19">
        <f>IFERROR(INDEX(#REF!,MATCH($D96,#REF!,0)),"")</f>
      </c>
    </row>
    <row x14ac:dyDescent="0.25" r="97" customHeight="1" ht="18.75">
      <c r="A97" s="7">
        <v>101242909</v>
      </c>
      <c r="B97" s="8">
        <v>45903</v>
      </c>
      <c r="C97" s="9">
        <v>5.513888888888889</v>
      </c>
      <c r="D97" s="7">
        <v>102528</v>
      </c>
      <c r="E97" s="10">
        <v>398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19">
        <f>IFERROR(INDEX(#REF!,MATCH($D97,#REF!,"")),"")</f>
      </c>
      <c r="AL97" s="19">
        <f>IFERROR(INDEX(#REF!,MATCH($D97,#REF!,"")),"")</f>
      </c>
      <c r="AM97" s="19">
        <f>IFERROR(INDEX(#REF!,MATCH($D97,#REF!,"")),"")</f>
      </c>
      <c r="AN97" s="19">
        <f>IFERROR(INDEX(#REF!,MATCH($D97,#REF!,0)),"")</f>
      </c>
    </row>
    <row x14ac:dyDescent="0.25" r="98" customHeight="1" ht="18.75">
      <c r="A98" s="7">
        <v>101239183</v>
      </c>
      <c r="B98" s="8">
        <v>45903</v>
      </c>
      <c r="C98" s="9">
        <v>5.520833333333333</v>
      </c>
      <c r="D98" s="7">
        <v>102394</v>
      </c>
      <c r="E98" s="10">
        <v>298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19">
        <f>IFERROR(INDEX(#REF!,MATCH($D98,#REF!,"")),"")</f>
      </c>
      <c r="AL98" s="19">
        <f>IFERROR(INDEX(#REF!,MATCH($D98,#REF!,"")),"")</f>
      </c>
      <c r="AM98" s="19">
        <f>IFERROR(INDEX(#REF!,MATCH($D98,#REF!,"")),"")</f>
      </c>
      <c r="AN98" s="19">
        <f>IFERROR(INDEX(#REF!,MATCH($D98,#REF!,0)),"")</f>
      </c>
    </row>
    <row x14ac:dyDescent="0.25" r="99" customHeight="1" ht="18.75">
      <c r="A99" s="7">
        <v>101239184</v>
      </c>
      <c r="B99" s="8">
        <v>45903</v>
      </c>
      <c r="C99" s="9">
        <v>5.590277777777778</v>
      </c>
      <c r="D99" s="7">
        <v>119622</v>
      </c>
      <c r="E99" s="10">
        <v>179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19">
        <f>IFERROR(INDEX(#REF!,MATCH($D99,#REF!,"")),"")</f>
      </c>
      <c r="AL99" s="19">
        <f>IFERROR(INDEX(#REF!,MATCH($D99,#REF!,"")),"")</f>
      </c>
      <c r="AM99" s="19">
        <f>IFERROR(INDEX(#REF!,MATCH($D99,#REF!,"")),"")</f>
      </c>
      <c r="AN99" s="19">
        <f>IFERROR(INDEX(#REF!,MATCH($D99,#REF!,0)),"")</f>
      </c>
    </row>
    <row x14ac:dyDescent="0.25" r="100" customHeight="1" ht="18.75">
      <c r="A100" s="11">
        <v>115698785</v>
      </c>
      <c r="B100" s="8">
        <v>45903</v>
      </c>
      <c r="C100" s="9">
        <v>5.583333333333333</v>
      </c>
      <c r="D100" s="11">
        <v>112908</v>
      </c>
      <c r="E100" s="10">
        <v>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19">
        <f>IFERROR(INDEX(#REF!,MATCH($D100,#REF!,"")),"")</f>
      </c>
      <c r="AL100" s="19">
        <f>IFERROR(INDEX(#REF!,MATCH($D100,#REF!,"")),"")</f>
      </c>
      <c r="AM100" s="19">
        <f>IFERROR(INDEX(#REF!,MATCH($D100,#REF!,"")),"")</f>
      </c>
      <c r="AN100" s="19">
        <f>IFERROR(INDEX(#REF!,MATCH($D100,#REF!,0)),"")</f>
      </c>
    </row>
    <row x14ac:dyDescent="0.25" r="101" customHeight="1" ht="18.75">
      <c r="A101" s="7">
        <v>101239497</v>
      </c>
      <c r="B101" s="8">
        <v>45904</v>
      </c>
      <c r="C101" s="9">
        <v>5.361111111111111</v>
      </c>
      <c r="D101" s="7">
        <v>102541</v>
      </c>
      <c r="E101" s="10">
        <v>209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19">
        <f>IFERROR(INDEX(#REF!,MATCH($D101,#REF!,"")),"")</f>
      </c>
      <c r="AL101" s="19">
        <f>IFERROR(INDEX(#REF!,MATCH($D101,#REF!,"")),"")</f>
      </c>
      <c r="AM101" s="19">
        <f>IFERROR(INDEX(#REF!,MATCH($D101,#REF!,"")),"")</f>
      </c>
      <c r="AN101" s="19">
        <f>IFERROR(INDEX(#REF!,MATCH($D101,#REF!,0)),"")</f>
      </c>
    </row>
    <row x14ac:dyDescent="0.25" r="102" customHeight="1" ht="18.75">
      <c r="A102" s="7">
        <v>101239513</v>
      </c>
      <c r="B102" s="8">
        <v>45904</v>
      </c>
      <c r="C102" s="9">
        <v>5.375</v>
      </c>
      <c r="D102" s="7">
        <v>111412</v>
      </c>
      <c r="E102" s="10">
        <v>436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19">
        <f>IFERROR(INDEX(#REF!,MATCH($D102,#REF!,"")),"")</f>
      </c>
      <c r="AL102" s="19">
        <f>IFERROR(INDEX(#REF!,MATCH($D102,#REF!,"")),"")</f>
      </c>
      <c r="AM102" s="19">
        <f>IFERROR(INDEX(#REF!,MATCH($D102,#REF!,"")),"")</f>
      </c>
      <c r="AN102" s="19">
        <f>IFERROR(INDEX(#REF!,MATCH($D102,#REF!,0)),"")</f>
      </c>
    </row>
    <row x14ac:dyDescent="0.25" r="103" customHeight="1" ht="18.75">
      <c r="A103" s="7">
        <v>101239504</v>
      </c>
      <c r="B103" s="8">
        <v>45904</v>
      </c>
      <c r="C103" s="9">
        <v>5.409722222222222</v>
      </c>
      <c r="D103" s="7">
        <v>102258</v>
      </c>
      <c r="E103" s="10">
        <v>280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19">
        <f>IFERROR(INDEX(#REF!,MATCH($D103,#REF!,"")),"")</f>
      </c>
      <c r="AL103" s="19">
        <f>IFERROR(INDEX(#REF!,MATCH($D103,#REF!,"")),"")</f>
      </c>
      <c r="AM103" s="19">
        <f>IFERROR(INDEX(#REF!,MATCH($D103,#REF!,"")),"")</f>
      </c>
      <c r="AN103" s="19">
        <f>IFERROR(INDEX(#REF!,MATCH($D103,#REF!,0)),"")</f>
      </c>
    </row>
    <row x14ac:dyDescent="0.25" r="104" customHeight="1" ht="18.75">
      <c r="A104" s="7">
        <v>101239505</v>
      </c>
      <c r="B104" s="8">
        <v>45904</v>
      </c>
      <c r="C104" s="9">
        <v>5.416666666666667</v>
      </c>
      <c r="D104" s="7">
        <v>102317</v>
      </c>
      <c r="E104" s="10">
        <v>172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19">
        <f>IFERROR(INDEX(#REF!,MATCH($D104,#REF!,"")),"")</f>
      </c>
      <c r="AL104" s="19">
        <f>IFERROR(INDEX(#REF!,MATCH($D104,#REF!,"")),"")</f>
      </c>
      <c r="AM104" s="19">
        <f>IFERROR(INDEX(#REF!,MATCH($D104,#REF!,"")),"")</f>
      </c>
      <c r="AN104" s="19">
        <f>IFERROR(INDEX(#REF!,MATCH($D104,#REF!,0)),"")</f>
      </c>
    </row>
    <row x14ac:dyDescent="0.25" r="105" customHeight="1" ht="18.75">
      <c r="A105" s="7">
        <v>101239506</v>
      </c>
      <c r="B105" s="8">
        <v>45904</v>
      </c>
      <c r="C105" s="9">
        <v>5.423611111111111</v>
      </c>
      <c r="D105" s="7">
        <v>102445</v>
      </c>
      <c r="E105" s="10">
        <v>115</v>
      </c>
      <c r="F105" s="6" t="s">
        <v>8</v>
      </c>
      <c r="G105" s="6"/>
      <c r="H105" s="6" t="s">
        <v>163</v>
      </c>
      <c r="I105" s="6" t="s">
        <v>169</v>
      </c>
      <c r="J105" s="6" t="s">
        <v>170</v>
      </c>
      <c r="K105" s="6" t="s">
        <v>175</v>
      </c>
      <c r="L105" s="6" t="s">
        <v>171</v>
      </c>
      <c r="M105" s="6" t="s">
        <v>145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 t="s">
        <v>12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19">
        <f>IFERROR(INDEX(#REF!,MATCH($D105,#REF!,"")),"")</f>
      </c>
      <c r="AL105" s="19">
        <f>IFERROR(INDEX(#REF!,MATCH($D105,#REF!,"")),"")</f>
      </c>
      <c r="AM105" s="19">
        <f>IFERROR(INDEX(#REF!,MATCH($D105,#REF!,"")),"")</f>
      </c>
      <c r="AN105" s="19">
        <f>IFERROR(INDEX(#REF!,MATCH($D105,#REF!,0)),"")</f>
      </c>
    </row>
    <row x14ac:dyDescent="0.25" r="106" customHeight="1" ht="18.75">
      <c r="A106" s="7">
        <v>101240917</v>
      </c>
      <c r="B106" s="8">
        <v>45904</v>
      </c>
      <c r="C106" s="9">
        <v>5.4375</v>
      </c>
      <c r="D106" s="7">
        <v>113977</v>
      </c>
      <c r="E106" s="10">
        <v>85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19">
        <f>IFERROR(INDEX(#REF!,MATCH($D106,#REF!,"")),"")</f>
      </c>
      <c r="AL106" s="19">
        <f>IFERROR(INDEX(#REF!,MATCH($D106,#REF!,"")),"")</f>
      </c>
      <c r="AM106" s="19">
        <f>IFERROR(INDEX(#REF!,MATCH($D106,#REF!,"")),"")</f>
      </c>
      <c r="AN106" s="19">
        <f>IFERROR(INDEX(#REF!,MATCH($D106,#REF!,0)),"")</f>
      </c>
    </row>
    <row x14ac:dyDescent="0.25" r="107" customHeight="1" ht="18.75">
      <c r="A107" s="7">
        <v>101259054</v>
      </c>
      <c r="B107" s="8">
        <v>45904</v>
      </c>
      <c r="C107" s="9">
        <v>5.444444444444445</v>
      </c>
      <c r="D107" s="7">
        <v>117983</v>
      </c>
      <c r="E107" s="10">
        <v>457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19">
        <f>IFERROR(INDEX(#REF!,MATCH($D107,#REF!,"")),"")</f>
      </c>
      <c r="AL107" s="19">
        <f>IFERROR(INDEX(#REF!,MATCH($D107,#REF!,"")),"")</f>
      </c>
      <c r="AM107" s="19">
        <f>IFERROR(INDEX(#REF!,MATCH($D107,#REF!,"")),"")</f>
      </c>
      <c r="AN107" s="19">
        <f>IFERROR(INDEX(#REF!,MATCH($D107,#REF!,0)),"")</f>
      </c>
    </row>
    <row x14ac:dyDescent="0.25" r="108" customHeight="1" ht="18.75">
      <c r="A108" s="7">
        <v>101239509</v>
      </c>
      <c r="B108" s="8">
        <v>45904</v>
      </c>
      <c r="C108" s="9">
        <v>5.451388888888889</v>
      </c>
      <c r="D108" s="7">
        <v>102287</v>
      </c>
      <c r="E108" s="10">
        <v>152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19">
        <f>IFERROR(INDEX(#REF!,MATCH($D108,#REF!,"")),"")</f>
      </c>
      <c r="AL108" s="19">
        <f>IFERROR(INDEX(#REF!,MATCH($D108,#REF!,"")),"")</f>
      </c>
      <c r="AM108" s="19">
        <f>IFERROR(INDEX(#REF!,MATCH($D108,#REF!,"")),"")</f>
      </c>
      <c r="AN108" s="19">
        <f>IFERROR(INDEX(#REF!,MATCH($D108,#REF!,0)),"")</f>
      </c>
    </row>
    <row x14ac:dyDescent="0.25" r="109" customHeight="1" ht="18.75">
      <c r="A109" s="7">
        <v>101239517</v>
      </c>
      <c r="B109" s="8">
        <v>45904</v>
      </c>
      <c r="C109" s="9">
        <v>5.458333333333333</v>
      </c>
      <c r="D109" s="7">
        <v>102279</v>
      </c>
      <c r="E109" s="10">
        <v>109</v>
      </c>
      <c r="F109" s="6" t="s">
        <v>8</v>
      </c>
      <c r="G109" s="6"/>
      <c r="H109" s="6" t="s">
        <v>163</v>
      </c>
      <c r="I109" s="6" t="s">
        <v>169</v>
      </c>
      <c r="J109" s="6" t="s">
        <v>170</v>
      </c>
      <c r="K109" s="6" t="s">
        <v>175</v>
      </c>
      <c r="L109" s="6" t="s">
        <v>171</v>
      </c>
      <c r="M109" s="6" t="s">
        <v>145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 t="s">
        <v>12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19">
        <f>IFERROR(INDEX(#REF!,MATCH($D109,#REF!,"")),"")</f>
      </c>
      <c r="AL109" s="19">
        <f>IFERROR(INDEX(#REF!,MATCH($D109,#REF!,"")),"")</f>
      </c>
      <c r="AM109" s="19">
        <f>IFERROR(INDEX(#REF!,MATCH($D109,#REF!,"")),"")</f>
      </c>
      <c r="AN109" s="19">
        <f>IFERROR(INDEX(#REF!,MATCH($D109,#REF!,0)),"")</f>
      </c>
    </row>
    <row x14ac:dyDescent="0.25" r="110" customHeight="1" ht="18.75">
      <c r="A110" s="7">
        <v>101243145</v>
      </c>
      <c r="B110" s="8">
        <v>45904</v>
      </c>
      <c r="C110" s="9">
        <v>5.458333333333333</v>
      </c>
      <c r="D110" s="7">
        <v>102717</v>
      </c>
      <c r="E110" s="10">
        <v>131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19">
        <f>IFERROR(INDEX(#REF!,MATCH($D110,#REF!,"")),"")</f>
      </c>
      <c r="AL110" s="19">
        <f>IFERROR(INDEX(#REF!,MATCH($D110,#REF!,"")),"")</f>
      </c>
      <c r="AM110" s="19">
        <f>IFERROR(INDEX(#REF!,MATCH($D110,#REF!,"")),"")</f>
      </c>
      <c r="AN110" s="19">
        <f>IFERROR(INDEX(#REF!,MATCH($D110,#REF!,0)),"")</f>
      </c>
    </row>
    <row x14ac:dyDescent="0.25" r="111" customHeight="1" ht="18.75">
      <c r="A111" s="7">
        <v>101239512</v>
      </c>
      <c r="B111" s="8">
        <v>45904</v>
      </c>
      <c r="C111" s="9">
        <v>5.472222222222222</v>
      </c>
      <c r="D111" s="7">
        <v>109423</v>
      </c>
      <c r="E111" s="10">
        <v>146</v>
      </c>
      <c r="F111" s="6" t="s">
        <v>8</v>
      </c>
      <c r="G111" s="6"/>
      <c r="H111" s="6" t="s">
        <v>163</v>
      </c>
      <c r="I111" s="6" t="s">
        <v>169</v>
      </c>
      <c r="J111" s="6" t="s">
        <v>170</v>
      </c>
      <c r="K111" s="6" t="s">
        <v>175</v>
      </c>
      <c r="L111" s="6" t="s">
        <v>171</v>
      </c>
      <c r="M111" s="6" t="s">
        <v>145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 t="s">
        <v>12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19">
        <f>IFERROR(INDEX(#REF!,MATCH($D111,#REF!,"")),"")</f>
      </c>
      <c r="AL111" s="19">
        <f>IFERROR(INDEX(#REF!,MATCH($D111,#REF!,"")),"")</f>
      </c>
      <c r="AM111" s="19">
        <f>IFERROR(INDEX(#REF!,MATCH($D111,#REF!,"")),"")</f>
      </c>
      <c r="AN111" s="19">
        <f>IFERROR(INDEX(#REF!,MATCH($D111,#REF!,0)),"")</f>
      </c>
    </row>
    <row x14ac:dyDescent="0.25" r="112" customHeight="1" ht="18.75">
      <c r="A112" s="7">
        <v>101239516</v>
      </c>
      <c r="B112" s="8">
        <v>45904</v>
      </c>
      <c r="C112" s="9">
        <v>5.5</v>
      </c>
      <c r="D112" s="7">
        <v>102424</v>
      </c>
      <c r="E112" s="10">
        <v>146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19">
        <f>IFERROR(INDEX(#REF!,MATCH($D112,#REF!,"")),"")</f>
      </c>
      <c r="AL112" s="19">
        <f>IFERROR(INDEX(#REF!,MATCH($D112,#REF!,"")),"")</f>
      </c>
      <c r="AM112" s="19">
        <f>IFERROR(INDEX(#REF!,MATCH($D112,#REF!,"")),"")</f>
      </c>
      <c r="AN112" s="19">
        <f>IFERROR(INDEX(#REF!,MATCH($D112,#REF!,0)),"")</f>
      </c>
    </row>
    <row x14ac:dyDescent="0.25" r="113" customHeight="1" ht="18.75">
      <c r="A113" s="7">
        <v>101239519</v>
      </c>
      <c r="B113" s="8">
        <v>45904</v>
      </c>
      <c r="C113" s="9">
        <v>5.583333333333333</v>
      </c>
      <c r="D113" s="7">
        <v>102390</v>
      </c>
      <c r="E113" s="10">
        <v>82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19">
        <f>IFERROR(INDEX(#REF!,MATCH($D113,#REF!,"")),"")</f>
      </c>
      <c r="AL113" s="19">
        <f>IFERROR(INDEX(#REF!,MATCH($D113,#REF!,"")),"")</f>
      </c>
      <c r="AM113" s="19">
        <f>IFERROR(INDEX(#REF!,MATCH($D113,#REF!,"")),"")</f>
      </c>
      <c r="AN113" s="19">
        <f>IFERROR(INDEX(#REF!,MATCH($D113,#REF!,0)),"")</f>
      </c>
    </row>
    <row x14ac:dyDescent="0.25" r="114" customHeight="1" ht="18.75">
      <c r="A114" s="7">
        <v>101239500</v>
      </c>
      <c r="B114" s="8">
        <v>45904</v>
      </c>
      <c r="C114" s="9">
        <v>5.381944444444445</v>
      </c>
      <c r="D114" s="7">
        <v>111935</v>
      </c>
      <c r="E114" s="10">
        <v>103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19">
        <f>IFERROR(INDEX(#REF!,MATCH($D114,#REF!,"")),"")</f>
      </c>
      <c r="AL114" s="19">
        <f>IFERROR(INDEX(#REF!,MATCH($D114,#REF!,"")),"")</f>
      </c>
      <c r="AM114" s="19">
        <f>IFERROR(INDEX(#REF!,MATCH($D114,#REF!,"")),"")</f>
      </c>
      <c r="AN114" s="19">
        <f>IFERROR(INDEX(#REF!,MATCH($D114,#REF!,0)),"")</f>
      </c>
    </row>
    <row x14ac:dyDescent="0.25" r="115" customHeight="1" ht="18.75">
      <c r="A115" s="7">
        <v>101239503</v>
      </c>
      <c r="B115" s="8">
        <v>45904</v>
      </c>
      <c r="C115" s="9">
        <v>5.402777777777778</v>
      </c>
      <c r="D115" s="7">
        <v>102254</v>
      </c>
      <c r="E115" s="10">
        <v>163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19">
        <f>IFERROR(INDEX(#REF!,MATCH($D115,#REF!,"")),"")</f>
      </c>
      <c r="AL115" s="19">
        <f>IFERROR(INDEX(#REF!,MATCH($D115,#REF!,"")),"")</f>
      </c>
      <c r="AM115" s="19">
        <f>IFERROR(INDEX(#REF!,MATCH($D115,#REF!,"")),"")</f>
      </c>
      <c r="AN115" s="19">
        <f>IFERROR(INDEX(#REF!,MATCH($D115,#REF!,0)),"")</f>
      </c>
    </row>
    <row x14ac:dyDescent="0.25" r="116" customHeight="1" ht="18.75">
      <c r="A116" s="7">
        <v>101239814</v>
      </c>
      <c r="B116" s="8">
        <v>45905</v>
      </c>
      <c r="C116" s="9">
        <v>5.361111111111111</v>
      </c>
      <c r="D116" s="7">
        <v>117815</v>
      </c>
      <c r="E116" s="10">
        <v>390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19">
        <f>IFERROR(INDEX(#REF!,MATCH($D116,#REF!,"")),"")</f>
      </c>
      <c r="AL116" s="19">
        <f>IFERROR(INDEX(#REF!,MATCH($D116,#REF!,"")),"")</f>
      </c>
      <c r="AM116" s="19">
        <f>IFERROR(INDEX(#REF!,MATCH($D116,#REF!,"")),"")</f>
      </c>
      <c r="AN116" s="19">
        <f>IFERROR(INDEX(#REF!,MATCH($D116,#REF!,0)),"")</f>
      </c>
    </row>
    <row x14ac:dyDescent="0.25" r="117" customHeight="1" ht="18.75">
      <c r="A117" s="7">
        <v>101239818</v>
      </c>
      <c r="B117" s="8">
        <v>45905</v>
      </c>
      <c r="C117" s="9">
        <v>5.388888888888889</v>
      </c>
      <c r="D117" s="7">
        <v>113462</v>
      </c>
      <c r="E117" s="10">
        <v>107</v>
      </c>
      <c r="F117" s="6" t="s">
        <v>8</v>
      </c>
      <c r="G117" s="6" t="s">
        <v>8</v>
      </c>
      <c r="H117" s="6" t="s">
        <v>18</v>
      </c>
      <c r="I117" s="6" t="s">
        <v>176</v>
      </c>
      <c r="J117" s="6" t="s">
        <v>177</v>
      </c>
      <c r="K117" s="6" t="s">
        <v>178</v>
      </c>
      <c r="L117" s="6" t="s">
        <v>179</v>
      </c>
      <c r="M117" s="6" t="s">
        <v>163</v>
      </c>
      <c r="N117" s="6" t="s">
        <v>189</v>
      </c>
      <c r="O117" s="6" t="s">
        <v>190</v>
      </c>
      <c r="P117" s="6" t="s">
        <v>191</v>
      </c>
      <c r="Q117" s="6" t="s">
        <v>192</v>
      </c>
      <c r="R117" s="6" t="s">
        <v>193</v>
      </c>
      <c r="S117" s="6" t="s">
        <v>194</v>
      </c>
      <c r="T117" s="6" t="s">
        <v>195</v>
      </c>
      <c r="U117" s="6" t="s">
        <v>169</v>
      </c>
      <c r="V117" s="6" t="s">
        <v>170</v>
      </c>
      <c r="W117" s="6" t="s">
        <v>171</v>
      </c>
      <c r="X117" s="6" t="s">
        <v>145</v>
      </c>
      <c r="Y117" s="6"/>
      <c r="Z117" s="6"/>
      <c r="AA117" s="6" t="s">
        <v>19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19">
        <f>IFERROR(INDEX(#REF!,MATCH($D117,#REF!,"")),"")</f>
      </c>
      <c r="AL117" s="19">
        <f>IFERROR(INDEX(#REF!,MATCH($D117,#REF!,"")),"")</f>
      </c>
      <c r="AM117" s="19">
        <f>IFERROR(INDEX(#REF!,MATCH($D117,#REF!,"")),"")</f>
      </c>
      <c r="AN117" s="19">
        <f>IFERROR(INDEX(#REF!,MATCH($D117,#REF!,0)),"")</f>
      </c>
    </row>
    <row x14ac:dyDescent="0.25" r="118" customHeight="1" ht="18.75">
      <c r="A118" s="7">
        <v>101239819</v>
      </c>
      <c r="B118" s="8">
        <v>45905</v>
      </c>
      <c r="C118" s="9">
        <v>5.395833333333333</v>
      </c>
      <c r="D118" s="7">
        <v>102202</v>
      </c>
      <c r="E118" s="10">
        <v>78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19">
        <f>IFERROR(INDEX(#REF!,MATCH($D118,#REF!,"")),"")</f>
      </c>
      <c r="AL118" s="19">
        <f>IFERROR(INDEX(#REF!,MATCH($D118,#REF!,"")),"")</f>
      </c>
      <c r="AM118" s="19">
        <f>IFERROR(INDEX(#REF!,MATCH($D118,#REF!,"")),"")</f>
      </c>
      <c r="AN118" s="19">
        <f>IFERROR(INDEX(#REF!,MATCH($D118,#REF!,0)),"")</f>
      </c>
    </row>
    <row x14ac:dyDescent="0.25" r="119" customHeight="1" ht="18.75">
      <c r="A119" s="7">
        <v>101239820</v>
      </c>
      <c r="B119" s="8">
        <v>45905</v>
      </c>
      <c r="C119" s="9">
        <v>5.402777777777778</v>
      </c>
      <c r="D119" s="7">
        <v>102228</v>
      </c>
      <c r="E119" s="10">
        <v>276</v>
      </c>
      <c r="F119" s="6" t="s">
        <v>8</v>
      </c>
      <c r="G119" s="6"/>
      <c r="H119" s="6" t="s">
        <v>169</v>
      </c>
      <c r="I119" s="6" t="s">
        <v>170</v>
      </c>
      <c r="J119" s="6" t="s">
        <v>171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 t="s">
        <v>20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19">
        <f>IFERROR(INDEX(#REF!,MATCH($D119,#REF!,"")),"")</f>
      </c>
      <c r="AL119" s="19">
        <f>IFERROR(INDEX(#REF!,MATCH($D119,#REF!,"")),"")</f>
      </c>
      <c r="AM119" s="19">
        <f>IFERROR(INDEX(#REF!,MATCH($D119,#REF!,"")),"")</f>
      </c>
      <c r="AN119" s="19">
        <f>IFERROR(INDEX(#REF!,MATCH($D119,#REF!,0)),"")</f>
      </c>
    </row>
    <row x14ac:dyDescent="0.25" r="120" customHeight="1" ht="18.75">
      <c r="A120" s="7">
        <v>101239825</v>
      </c>
      <c r="B120" s="8">
        <v>45905</v>
      </c>
      <c r="C120" s="9">
        <v>5.4375</v>
      </c>
      <c r="D120" s="7">
        <v>102515</v>
      </c>
      <c r="E120" s="10">
        <v>141</v>
      </c>
      <c r="F120" s="6" t="s">
        <v>8</v>
      </c>
      <c r="G120" s="6"/>
      <c r="H120" s="6" t="s">
        <v>163</v>
      </c>
      <c r="I120" s="6" t="s">
        <v>169</v>
      </c>
      <c r="J120" s="6" t="s">
        <v>170</v>
      </c>
      <c r="K120" s="6" t="s">
        <v>175</v>
      </c>
      <c r="L120" s="6" t="s">
        <v>171</v>
      </c>
      <c r="M120" s="6" t="s">
        <v>145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 t="s">
        <v>12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19">
        <f>IFERROR(INDEX(#REF!,MATCH($D120,#REF!,"")),"")</f>
      </c>
      <c r="AL120" s="19">
        <f>IFERROR(INDEX(#REF!,MATCH($D120,#REF!,"")),"")</f>
      </c>
      <c r="AM120" s="19">
        <f>IFERROR(INDEX(#REF!,MATCH($D120,#REF!,"")),"")</f>
      </c>
      <c r="AN120" s="19">
        <f>IFERROR(INDEX(#REF!,MATCH($D120,#REF!,0)),"")</f>
      </c>
    </row>
    <row x14ac:dyDescent="0.25" r="121" customHeight="1" ht="18.75">
      <c r="A121" s="7">
        <v>101239826</v>
      </c>
      <c r="B121" s="8">
        <v>45905</v>
      </c>
      <c r="C121" s="9">
        <v>5.444444444444445</v>
      </c>
      <c r="D121" s="7">
        <v>102197</v>
      </c>
      <c r="E121" s="10">
        <v>114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19">
        <f>IFERROR(INDEX(#REF!,MATCH($D121,#REF!,"")),"")</f>
      </c>
      <c r="AL121" s="19">
        <f>IFERROR(INDEX(#REF!,MATCH($D121,#REF!,"")),"")</f>
      </c>
      <c r="AM121" s="19">
        <f>IFERROR(INDEX(#REF!,MATCH($D121,#REF!,"")),"")</f>
      </c>
      <c r="AN121" s="19">
        <f>IFERROR(INDEX(#REF!,MATCH($D121,#REF!,0)),"")</f>
      </c>
    </row>
    <row x14ac:dyDescent="0.25" r="122" customHeight="1" ht="18.75">
      <c r="A122" s="7">
        <v>101239828</v>
      </c>
      <c r="B122" s="8">
        <v>45905</v>
      </c>
      <c r="C122" s="9">
        <v>5.458333333333333</v>
      </c>
      <c r="D122" s="7">
        <v>118507</v>
      </c>
      <c r="E122" s="10">
        <v>306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19">
        <f>IFERROR(INDEX(#REF!,MATCH($D122,#REF!,"")),"")</f>
      </c>
      <c r="AL122" s="19">
        <f>IFERROR(INDEX(#REF!,MATCH($D122,#REF!,"")),"")</f>
      </c>
      <c r="AM122" s="19">
        <f>IFERROR(INDEX(#REF!,MATCH($D122,#REF!,"")),"")</f>
      </c>
      <c r="AN122" s="19">
        <f>IFERROR(INDEX(#REF!,MATCH($D122,#REF!,0)),"")</f>
      </c>
    </row>
    <row x14ac:dyDescent="0.25" r="123" customHeight="1" ht="18.75">
      <c r="A123" s="7">
        <v>101239829</v>
      </c>
      <c r="B123" s="8">
        <v>45905</v>
      </c>
      <c r="C123" s="9">
        <v>5.465277777777778</v>
      </c>
      <c r="D123" s="7">
        <v>102587</v>
      </c>
      <c r="E123" s="10">
        <v>82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19">
        <f>IFERROR(INDEX(#REF!,MATCH($D123,#REF!,"")),"")</f>
      </c>
      <c r="AL123" s="19">
        <f>IFERROR(INDEX(#REF!,MATCH($D123,#REF!,"")),"")</f>
      </c>
      <c r="AM123" s="19">
        <f>IFERROR(INDEX(#REF!,MATCH($D123,#REF!,"")),"")</f>
      </c>
      <c r="AN123" s="19">
        <f>IFERROR(INDEX(#REF!,MATCH($D123,#REF!,0)),"")</f>
      </c>
    </row>
    <row x14ac:dyDescent="0.25" r="124" customHeight="1" ht="18.75">
      <c r="A124" s="7">
        <v>101239830</v>
      </c>
      <c r="B124" s="8">
        <v>45905</v>
      </c>
      <c r="C124" s="9">
        <v>5.472222222222222</v>
      </c>
      <c r="D124" s="7">
        <v>102530</v>
      </c>
      <c r="E124" s="10">
        <v>718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19">
        <f>IFERROR(INDEX(#REF!,MATCH($D124,#REF!,"")),"")</f>
      </c>
      <c r="AL124" s="19">
        <f>IFERROR(INDEX(#REF!,MATCH($D124,#REF!,"")),"")</f>
      </c>
      <c r="AM124" s="19">
        <f>IFERROR(INDEX(#REF!,MATCH($D124,#REF!,"")),"")</f>
      </c>
      <c r="AN124" s="19">
        <f>IFERROR(INDEX(#REF!,MATCH($D124,#REF!,0)),"")</f>
      </c>
    </row>
    <row x14ac:dyDescent="0.25" r="125" customHeight="1" ht="18.75">
      <c r="A125" s="7">
        <v>101239821</v>
      </c>
      <c r="B125" s="8">
        <v>45905</v>
      </c>
      <c r="C125" s="9">
        <v>5.409722222222222</v>
      </c>
      <c r="D125" s="7">
        <v>102518</v>
      </c>
      <c r="E125" s="10">
        <v>158</v>
      </c>
      <c r="F125" s="6"/>
      <c r="G125" s="6" t="s">
        <v>8</v>
      </c>
      <c r="H125" s="6" t="s">
        <v>18</v>
      </c>
      <c r="I125" s="6" t="s">
        <v>176</v>
      </c>
      <c r="J125" s="6" t="s">
        <v>177</v>
      </c>
      <c r="K125" s="6" t="s">
        <v>178</v>
      </c>
      <c r="L125" s="6" t="s">
        <v>179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 t="s">
        <v>21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19">
        <f>IFERROR(INDEX(#REF!,MATCH($D125,#REF!,"")),"")</f>
      </c>
      <c r="AL125" s="19">
        <f>IFERROR(INDEX(#REF!,MATCH($D125,#REF!,"")),"")</f>
      </c>
      <c r="AM125" s="19">
        <f>IFERROR(INDEX(#REF!,MATCH($D125,#REF!,"")),"")</f>
      </c>
      <c r="AN125" s="19">
        <f>IFERROR(INDEX(#REF!,MATCH($D125,#REF!,0)),"")</f>
      </c>
    </row>
    <row x14ac:dyDescent="0.25" r="126" customHeight="1" ht="18.75">
      <c r="A126" s="7"/>
      <c r="B126" s="8"/>
      <c r="C126" s="9"/>
      <c r="D126" s="7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19">
        <f>IFERROR(INDEX(#REF!,MATCH($D126,#REF!,"")),"")</f>
      </c>
      <c r="AL126" s="19">
        <f>IFERROR(INDEX(#REF!,MATCH($D126,#REF!,"")),"")</f>
      </c>
      <c r="AM126" s="19">
        <f>IFERROR(INDEX(#REF!,MATCH($D126,#REF!,"")),"")</f>
      </c>
      <c r="AN126" s="19">
        <f>IFERROR(INDEX(#REF!,MATCH($D126,#REF!,0)),"")</f>
      </c>
    </row>
    <row x14ac:dyDescent="0.25" r="127" customHeight="1" ht="18.75">
      <c r="A127" s="7">
        <v>101240033</v>
      </c>
      <c r="B127" s="8">
        <v>45908</v>
      </c>
      <c r="C127" s="9">
        <v>5.361111111111111</v>
      </c>
      <c r="D127" s="7">
        <v>102623</v>
      </c>
      <c r="E127" s="10">
        <v>63</v>
      </c>
      <c r="F127" s="6" t="s">
        <v>8</v>
      </c>
      <c r="G127" s="6"/>
      <c r="H127" s="6" t="s">
        <v>169</v>
      </c>
      <c r="I127" s="6" t="s">
        <v>170</v>
      </c>
      <c r="J127" s="6" t="s">
        <v>171</v>
      </c>
      <c r="K127" s="6" t="s">
        <v>145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 t="s">
        <v>196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19">
        <f>IFERROR(INDEX(#REF!,MATCH($D127,#REF!,"")),"")</f>
      </c>
      <c r="AL127" s="19">
        <f>IFERROR(INDEX(#REF!,MATCH($D127,#REF!,"")),"")</f>
      </c>
      <c r="AM127" s="19">
        <f>IFERROR(INDEX(#REF!,MATCH($D127,#REF!,"")),"")</f>
      </c>
      <c r="AN127" s="19">
        <f>IFERROR(INDEX(#REF!,MATCH($D127,#REF!,0)),"")</f>
      </c>
    </row>
    <row x14ac:dyDescent="0.25" r="128" customHeight="1" ht="18.75">
      <c r="A128" s="7">
        <v>101240034</v>
      </c>
      <c r="B128" s="8">
        <v>45908</v>
      </c>
      <c r="C128" s="9">
        <v>5.375</v>
      </c>
      <c r="D128" s="7">
        <v>112382</v>
      </c>
      <c r="E128" s="10">
        <v>341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19">
        <f>IFERROR(INDEX(#REF!,MATCH($D128,#REF!,"")),"")</f>
      </c>
      <c r="AL128" s="19">
        <f>IFERROR(INDEX(#REF!,MATCH($D128,#REF!,"")),"")</f>
      </c>
      <c r="AM128" s="19">
        <f>IFERROR(INDEX(#REF!,MATCH($D128,#REF!,"")),"")</f>
      </c>
      <c r="AN128" s="19">
        <f>IFERROR(INDEX(#REF!,MATCH($D128,#REF!,0)),"")</f>
      </c>
    </row>
    <row x14ac:dyDescent="0.25" r="129" customHeight="1" ht="18.75">
      <c r="A129" s="7">
        <v>101240036</v>
      </c>
      <c r="B129" s="8">
        <v>45908</v>
      </c>
      <c r="C129" s="9">
        <v>5.388888888888889</v>
      </c>
      <c r="D129" s="7">
        <v>102175</v>
      </c>
      <c r="E129" s="10">
        <v>482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19">
        <f>IFERROR(INDEX(#REF!,MATCH($D129,#REF!,"")),"")</f>
      </c>
      <c r="AL129" s="19">
        <f>IFERROR(INDEX(#REF!,MATCH($D129,#REF!,"")),"")</f>
      </c>
      <c r="AM129" s="19">
        <f>IFERROR(INDEX(#REF!,MATCH($D129,#REF!,"")),"")</f>
      </c>
      <c r="AN129" s="19">
        <f>IFERROR(INDEX(#REF!,MATCH($D129,#REF!,0)),"")</f>
      </c>
    </row>
    <row x14ac:dyDescent="0.25" r="130" customHeight="1" ht="18.75">
      <c r="A130" s="7">
        <v>101240037</v>
      </c>
      <c r="B130" s="8">
        <v>45908</v>
      </c>
      <c r="C130" s="9">
        <v>5.395833333333333</v>
      </c>
      <c r="D130" s="7">
        <v>102651</v>
      </c>
      <c r="E130" s="10">
        <v>961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19">
        <f>IFERROR(INDEX(#REF!,MATCH($D130,#REF!,"")),"")</f>
      </c>
      <c r="AL130" s="19">
        <f>IFERROR(INDEX(#REF!,MATCH($D130,#REF!,"")),"")</f>
      </c>
      <c r="AM130" s="19">
        <f>IFERROR(INDEX(#REF!,MATCH($D130,#REF!,"")),"")</f>
      </c>
      <c r="AN130" s="19">
        <f>IFERROR(INDEX(#REF!,MATCH($D130,#REF!,0)),"")</f>
      </c>
    </row>
    <row x14ac:dyDescent="0.25" r="131" customHeight="1" ht="18.75">
      <c r="A131" s="7">
        <v>101240038</v>
      </c>
      <c r="B131" s="8">
        <v>45908</v>
      </c>
      <c r="C131" s="9">
        <v>5.402777777777778</v>
      </c>
      <c r="D131" s="7">
        <v>102652</v>
      </c>
      <c r="E131" s="10">
        <v>392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19">
        <f>IFERROR(INDEX(#REF!,MATCH($D131,#REF!,"")),"")</f>
      </c>
      <c r="AL131" s="19">
        <f>IFERROR(INDEX(#REF!,MATCH($D131,#REF!,"")),"")</f>
      </c>
      <c r="AM131" s="19">
        <f>IFERROR(INDEX(#REF!,MATCH($D131,#REF!,"")),"")</f>
      </c>
      <c r="AN131" s="19">
        <f>IFERROR(INDEX(#REF!,MATCH($D131,#REF!,0)),"")</f>
      </c>
    </row>
    <row x14ac:dyDescent="0.25" r="132" customHeight="1" ht="18.75">
      <c r="A132" s="7">
        <v>101240039</v>
      </c>
      <c r="B132" s="8">
        <v>45908</v>
      </c>
      <c r="C132" s="9">
        <v>5.409722222222222</v>
      </c>
      <c r="D132" s="7">
        <v>102322</v>
      </c>
      <c r="E132" s="10">
        <v>584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19">
        <f>IFERROR(INDEX(#REF!,MATCH($D132,#REF!,"")),"")</f>
      </c>
      <c r="AL132" s="19">
        <f>IFERROR(INDEX(#REF!,MATCH($D132,#REF!,"")),"")</f>
      </c>
      <c r="AM132" s="19">
        <f>IFERROR(INDEX(#REF!,MATCH($D132,#REF!,"")),"")</f>
      </c>
      <c r="AN132" s="19">
        <f>IFERROR(INDEX(#REF!,MATCH($D132,#REF!,0)),"")</f>
      </c>
    </row>
    <row x14ac:dyDescent="0.25" r="133" customHeight="1" ht="18.75">
      <c r="A133" s="7">
        <v>101240040</v>
      </c>
      <c r="B133" s="8">
        <v>45908</v>
      </c>
      <c r="C133" s="9">
        <v>5.416666666666667</v>
      </c>
      <c r="D133" s="7">
        <v>102525</v>
      </c>
      <c r="E133" s="10">
        <v>139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19">
        <f>IFERROR(INDEX(#REF!,MATCH($D133,#REF!,"")),"")</f>
      </c>
      <c r="AL133" s="19">
        <f>IFERROR(INDEX(#REF!,MATCH($D133,#REF!,"")),"")</f>
      </c>
      <c r="AM133" s="19">
        <f>IFERROR(INDEX(#REF!,MATCH($D133,#REF!,"")),"")</f>
      </c>
      <c r="AN133" s="19">
        <f>IFERROR(INDEX(#REF!,MATCH($D133,#REF!,0)),"")</f>
      </c>
    </row>
    <row x14ac:dyDescent="0.25" r="134" customHeight="1" ht="18.75">
      <c r="A134" s="7">
        <v>101255308</v>
      </c>
      <c r="B134" s="8">
        <v>45908</v>
      </c>
      <c r="C134" s="9">
        <v>5.416666666666667</v>
      </c>
      <c r="D134" s="7">
        <v>102596</v>
      </c>
      <c r="E134" s="10">
        <v>137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19">
        <f>IFERROR(INDEX(#REF!,MATCH($D134,#REF!,"")),"")</f>
      </c>
      <c r="AL134" s="19">
        <f>IFERROR(INDEX(#REF!,MATCH($D134,#REF!,"")),"")</f>
      </c>
      <c r="AM134" s="19">
        <f>IFERROR(INDEX(#REF!,MATCH($D134,#REF!,"")),"")</f>
      </c>
      <c r="AN134" s="19">
        <f>IFERROR(INDEX(#REF!,MATCH($D134,#REF!,0)),"")</f>
      </c>
    </row>
    <row x14ac:dyDescent="0.25" r="135" customHeight="1" ht="18.75">
      <c r="A135" s="7">
        <v>101240041</v>
      </c>
      <c r="B135" s="8">
        <v>45908</v>
      </c>
      <c r="C135" s="9">
        <v>5.423611111111111</v>
      </c>
      <c r="D135" s="7">
        <v>102419</v>
      </c>
      <c r="E135" s="10">
        <v>105</v>
      </c>
      <c r="F135" s="6" t="s">
        <v>8</v>
      </c>
      <c r="G135" s="6"/>
      <c r="H135" s="6" t="s">
        <v>168</v>
      </c>
      <c r="I135" s="6" t="s">
        <v>175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 t="s">
        <v>197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19">
        <f>IFERROR(INDEX(#REF!,MATCH($D135,#REF!,"")),"")</f>
      </c>
      <c r="AL135" s="19">
        <f>IFERROR(INDEX(#REF!,MATCH($D135,#REF!,"")),"")</f>
      </c>
      <c r="AM135" s="19">
        <f>IFERROR(INDEX(#REF!,MATCH($D135,#REF!,"")),"")</f>
      </c>
      <c r="AN135" s="19">
        <f>IFERROR(INDEX(#REF!,MATCH($D135,#REF!,0)),"")</f>
      </c>
    </row>
    <row x14ac:dyDescent="0.25" r="136" customHeight="1" ht="18.75">
      <c r="A136" s="7">
        <v>101240915</v>
      </c>
      <c r="B136" s="8">
        <v>45908</v>
      </c>
      <c r="C136" s="9">
        <v>5.423611111111111</v>
      </c>
      <c r="D136" s="7">
        <v>102450</v>
      </c>
      <c r="E136" s="10">
        <v>135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19">
        <f>IFERROR(INDEX(#REF!,MATCH($D136,#REF!,"")),"")</f>
      </c>
      <c r="AL136" s="19">
        <f>IFERROR(INDEX(#REF!,MATCH($D136,#REF!,"")),"")</f>
      </c>
      <c r="AM136" s="19">
        <f>IFERROR(INDEX(#REF!,MATCH($D136,#REF!,"")),"")</f>
      </c>
      <c r="AN136" s="19">
        <f>IFERROR(INDEX(#REF!,MATCH($D136,#REF!,0)),"")</f>
      </c>
    </row>
    <row x14ac:dyDescent="0.25" r="137" customHeight="1" ht="18.75">
      <c r="A137" s="7">
        <v>101240042</v>
      </c>
      <c r="B137" s="8">
        <v>45908</v>
      </c>
      <c r="C137" s="9">
        <v>5.430555555555555</v>
      </c>
      <c r="D137" s="7">
        <v>102506</v>
      </c>
      <c r="E137" s="10">
        <v>144</v>
      </c>
      <c r="F137" s="6"/>
      <c r="G137" s="6"/>
      <c r="H137" s="6" t="s">
        <v>133</v>
      </c>
      <c r="I137" s="6" t="s">
        <v>168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 t="s">
        <v>198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19">
        <f>IFERROR(INDEX(#REF!,MATCH($D137,#REF!,"")),"")</f>
      </c>
      <c r="AL137" s="19">
        <f>IFERROR(INDEX(#REF!,MATCH($D137,#REF!,"")),"")</f>
      </c>
      <c r="AM137" s="19">
        <f>IFERROR(INDEX(#REF!,MATCH($D137,#REF!,"")),"")</f>
      </c>
      <c r="AN137" s="19">
        <f>IFERROR(INDEX(#REF!,MATCH($D137,#REF!,0)),"")</f>
      </c>
    </row>
    <row x14ac:dyDescent="0.25" r="138" customHeight="1" ht="18.75">
      <c r="A138" s="7">
        <v>101241319</v>
      </c>
      <c r="B138" s="8">
        <v>45908</v>
      </c>
      <c r="C138" s="9">
        <v>5.430555555555555</v>
      </c>
      <c r="D138" s="7">
        <v>120483</v>
      </c>
      <c r="E138" s="10">
        <v>72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19">
        <f>IFERROR(INDEX(#REF!,MATCH($D138,#REF!,"")),"")</f>
      </c>
      <c r="AL138" s="19">
        <f>IFERROR(INDEX(#REF!,MATCH($D138,#REF!,"")),"")</f>
      </c>
      <c r="AM138" s="19">
        <f>IFERROR(INDEX(#REF!,MATCH($D138,#REF!,"")),"")</f>
      </c>
      <c r="AN138" s="19">
        <f>IFERROR(INDEX(#REF!,MATCH($D138,#REF!,0)),"")</f>
      </c>
    </row>
    <row x14ac:dyDescent="0.25" r="139" customHeight="1" ht="18.75">
      <c r="A139" s="7">
        <v>101240043</v>
      </c>
      <c r="B139" s="8">
        <v>45908</v>
      </c>
      <c r="C139" s="9">
        <v>5.4375</v>
      </c>
      <c r="D139" s="7">
        <v>102296</v>
      </c>
      <c r="E139" s="10">
        <v>111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19">
        <f>IFERROR(INDEX(#REF!,MATCH($D139,#REF!,"")),"")</f>
      </c>
      <c r="AL139" s="19">
        <f>IFERROR(INDEX(#REF!,MATCH($D139,#REF!,"")),"")</f>
      </c>
      <c r="AM139" s="19">
        <f>IFERROR(INDEX(#REF!,MATCH($D139,#REF!,"")),"")</f>
      </c>
      <c r="AN139" s="19">
        <f>IFERROR(INDEX(#REF!,MATCH($D139,#REF!,0)),"")</f>
      </c>
    </row>
    <row x14ac:dyDescent="0.25" r="140" customHeight="1" ht="18.75">
      <c r="A140" s="7">
        <v>101240044</v>
      </c>
      <c r="B140" s="8">
        <v>45908</v>
      </c>
      <c r="C140" s="9">
        <v>5.444444444444445</v>
      </c>
      <c r="D140" s="7">
        <v>102300</v>
      </c>
      <c r="E140" s="10">
        <v>55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19">
        <f>IFERROR(INDEX(#REF!,MATCH($D140,#REF!,"")),"")</f>
      </c>
      <c r="AL140" s="19">
        <f>IFERROR(INDEX(#REF!,MATCH($D140,#REF!,"")),"")</f>
      </c>
      <c r="AM140" s="19">
        <f>IFERROR(INDEX(#REF!,MATCH($D140,#REF!,"")),"")</f>
      </c>
      <c r="AN140" s="19">
        <f>IFERROR(INDEX(#REF!,MATCH($D140,#REF!,0)),"")</f>
      </c>
    </row>
    <row x14ac:dyDescent="0.25" r="141" customHeight="1" ht="18.75">
      <c r="A141" s="7">
        <v>101240047</v>
      </c>
      <c r="B141" s="8">
        <v>45908</v>
      </c>
      <c r="C141" s="9">
        <v>5.465277777777778</v>
      </c>
      <c r="D141" s="7">
        <v>102241</v>
      </c>
      <c r="E141" s="10">
        <v>48</v>
      </c>
      <c r="F141" s="6"/>
      <c r="G141" s="6"/>
      <c r="H141" s="6" t="s">
        <v>18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 t="s">
        <v>18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19">
        <f>IFERROR(INDEX(#REF!,MATCH($D141,#REF!,"")),"")</f>
      </c>
      <c r="AL141" s="19">
        <f>IFERROR(INDEX(#REF!,MATCH($D141,#REF!,"")),"")</f>
      </c>
      <c r="AM141" s="19">
        <f>IFERROR(INDEX(#REF!,MATCH($D141,#REF!,"")),"")</f>
      </c>
      <c r="AN141" s="19">
        <f>IFERROR(INDEX(#REF!,MATCH($D141,#REF!,0)),"")</f>
      </c>
    </row>
    <row x14ac:dyDescent="0.25" r="142" customHeight="1" ht="18.75">
      <c r="A142" s="7">
        <v>101247746</v>
      </c>
      <c r="B142" s="8">
        <v>45908</v>
      </c>
      <c r="C142" s="9">
        <v>5.5</v>
      </c>
      <c r="D142" s="7">
        <v>102674</v>
      </c>
      <c r="E142" s="10">
        <v>43</v>
      </c>
      <c r="F142" s="6"/>
      <c r="G142" s="6"/>
      <c r="H142" s="6" t="s">
        <v>18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 t="s">
        <v>18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19">
        <f>IFERROR(INDEX(#REF!,MATCH($D142,#REF!,"")),"")</f>
      </c>
      <c r="AL142" s="19">
        <f>IFERROR(INDEX(#REF!,MATCH($D142,#REF!,"")),"")</f>
      </c>
      <c r="AM142" s="19">
        <f>IFERROR(INDEX(#REF!,MATCH($D142,#REF!,"")),"")</f>
      </c>
      <c r="AN142" s="19">
        <f>IFERROR(INDEX(#REF!,MATCH($D142,#REF!,0)),"")</f>
      </c>
    </row>
    <row x14ac:dyDescent="0.25" r="143" customHeight="1" ht="18.75">
      <c r="A143" s="7">
        <v>101240301</v>
      </c>
      <c r="B143" s="8">
        <v>45909</v>
      </c>
      <c r="C143" s="9">
        <v>5.361111111111111</v>
      </c>
      <c r="D143" s="7">
        <v>102173</v>
      </c>
      <c r="E143" s="10">
        <v>170</v>
      </c>
      <c r="F143" s="6"/>
      <c r="G143" s="6"/>
      <c r="H143" s="6" t="s">
        <v>18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 t="s">
        <v>18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19">
        <f>IFERROR(INDEX(#REF!,MATCH($D143,#REF!,"")),"")</f>
      </c>
      <c r="AL143" s="19">
        <f>IFERROR(INDEX(#REF!,MATCH($D143,#REF!,"")),"")</f>
      </c>
      <c r="AM143" s="19">
        <f>IFERROR(INDEX(#REF!,MATCH($D143,#REF!,"")),"")</f>
      </c>
      <c r="AN143" s="19">
        <f>IFERROR(INDEX(#REF!,MATCH($D143,#REF!,0)),"")</f>
      </c>
    </row>
    <row x14ac:dyDescent="0.25" r="144" customHeight="1" ht="18.75">
      <c r="A144" s="7">
        <v>101240302</v>
      </c>
      <c r="B144" s="8">
        <v>45909</v>
      </c>
      <c r="C144" s="9">
        <v>5.368055555555555</v>
      </c>
      <c r="D144" s="7">
        <v>102184</v>
      </c>
      <c r="E144" s="10">
        <v>103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19">
        <f>IFERROR(INDEX(#REF!,MATCH($D144,#REF!,"")),"")</f>
      </c>
      <c r="AL144" s="19">
        <f>IFERROR(INDEX(#REF!,MATCH($D144,#REF!,"")),"")</f>
      </c>
      <c r="AM144" s="19">
        <f>IFERROR(INDEX(#REF!,MATCH($D144,#REF!,"")),"")</f>
      </c>
      <c r="AN144" s="19">
        <f>IFERROR(INDEX(#REF!,MATCH($D144,#REF!,0)),"")</f>
      </c>
    </row>
    <row x14ac:dyDescent="0.25" r="145" customHeight="1" ht="18.75">
      <c r="A145" s="7">
        <v>101240303</v>
      </c>
      <c r="B145" s="8">
        <v>45909</v>
      </c>
      <c r="C145" s="9">
        <v>5.375</v>
      </c>
      <c r="D145" s="7">
        <v>102230</v>
      </c>
      <c r="E145" s="10">
        <v>317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19">
        <f>IFERROR(INDEX(#REF!,MATCH($D145,#REF!,"")),"")</f>
      </c>
      <c r="AL145" s="19">
        <f>IFERROR(INDEX(#REF!,MATCH($D145,#REF!,"")),"")</f>
      </c>
      <c r="AM145" s="19">
        <f>IFERROR(INDEX(#REF!,MATCH($D145,#REF!,"")),"")</f>
      </c>
      <c r="AN145" s="19">
        <f>IFERROR(INDEX(#REF!,MATCH($D145,#REF!,0)),"")</f>
      </c>
    </row>
    <row x14ac:dyDescent="0.25" r="146" customHeight="1" ht="18.75">
      <c r="A146" s="7">
        <v>101240304</v>
      </c>
      <c r="B146" s="8">
        <v>45909</v>
      </c>
      <c r="C146" s="9">
        <v>5.375</v>
      </c>
      <c r="D146" s="7">
        <v>102744</v>
      </c>
      <c r="E146" s="10">
        <v>83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19">
        <f>IFERROR(INDEX(#REF!,MATCH($D146,#REF!,"")),"")</f>
      </c>
      <c r="AL146" s="19">
        <f>IFERROR(INDEX(#REF!,MATCH($D146,#REF!,"")),"")</f>
      </c>
      <c r="AM146" s="19">
        <f>IFERROR(INDEX(#REF!,MATCH($D146,#REF!,"")),"")</f>
      </c>
      <c r="AN146" s="19">
        <f>IFERROR(INDEX(#REF!,MATCH($D146,#REF!,0)),"")</f>
      </c>
    </row>
    <row x14ac:dyDescent="0.25" r="147" customHeight="1" ht="18.75">
      <c r="A147" s="7">
        <v>101240306</v>
      </c>
      <c r="B147" s="8">
        <v>45909</v>
      </c>
      <c r="C147" s="9">
        <v>5.388888888888889</v>
      </c>
      <c r="D147" s="7">
        <v>102353</v>
      </c>
      <c r="E147" s="10">
        <v>65</v>
      </c>
      <c r="F147" s="6"/>
      <c r="G147" s="6" t="s">
        <v>8</v>
      </c>
      <c r="H147" s="6" t="s">
        <v>176</v>
      </c>
      <c r="I147" s="6" t="s">
        <v>177</v>
      </c>
      <c r="J147" s="6" t="s">
        <v>178</v>
      </c>
      <c r="K147" s="6" t="s">
        <v>179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 t="s">
        <v>180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19">
        <f>IFERROR(INDEX(#REF!,MATCH($D147,#REF!,"")),"")</f>
      </c>
      <c r="AL147" s="19">
        <f>IFERROR(INDEX(#REF!,MATCH($D147,#REF!,"")),"")</f>
      </c>
      <c r="AM147" s="19">
        <f>IFERROR(INDEX(#REF!,MATCH($D147,#REF!,"")),"")</f>
      </c>
      <c r="AN147" s="19">
        <f>IFERROR(INDEX(#REF!,MATCH($D147,#REF!,0)),"")</f>
      </c>
    </row>
    <row x14ac:dyDescent="0.25" r="148" customHeight="1" ht="18.75">
      <c r="A148" s="7">
        <v>101240307</v>
      </c>
      <c r="B148" s="8">
        <v>45909</v>
      </c>
      <c r="C148" s="9">
        <v>5.395833333333333</v>
      </c>
      <c r="D148" s="7">
        <v>102363</v>
      </c>
      <c r="E148" s="10">
        <v>30</v>
      </c>
      <c r="F148" s="6"/>
      <c r="G148" s="6" t="s">
        <v>8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19">
        <f>IFERROR(INDEX(#REF!,MATCH($D148,#REF!,"")),"")</f>
      </c>
      <c r="AL148" s="19">
        <f>IFERROR(INDEX(#REF!,MATCH($D148,#REF!,"")),"")</f>
      </c>
      <c r="AM148" s="19">
        <f>IFERROR(INDEX(#REF!,MATCH($D148,#REF!,"")),"")</f>
      </c>
      <c r="AN148" s="19">
        <f>IFERROR(INDEX(#REF!,MATCH($D148,#REF!,0)),"")</f>
      </c>
    </row>
    <row x14ac:dyDescent="0.25" r="149" customHeight="1" ht="18.75">
      <c r="A149" s="7">
        <v>101240312</v>
      </c>
      <c r="B149" s="8">
        <v>45909</v>
      </c>
      <c r="C149" s="9">
        <v>5.395833333333333</v>
      </c>
      <c r="D149" s="7">
        <v>102680</v>
      </c>
      <c r="E149" s="10">
        <v>108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19">
        <f>IFERROR(INDEX(#REF!,MATCH($D149,#REF!,"")),"")</f>
      </c>
      <c r="AL149" s="19">
        <f>IFERROR(INDEX(#REF!,MATCH($D149,#REF!,"")),"")</f>
      </c>
      <c r="AM149" s="19">
        <f>IFERROR(INDEX(#REF!,MATCH($D149,#REF!,"")),"")</f>
      </c>
      <c r="AN149" s="19">
        <f>IFERROR(INDEX(#REF!,MATCH($D149,#REF!,0)),"")</f>
      </c>
    </row>
    <row x14ac:dyDescent="0.25" r="150" customHeight="1" ht="18.75">
      <c r="A150" s="7">
        <v>101240308</v>
      </c>
      <c r="B150" s="8">
        <v>45909</v>
      </c>
      <c r="C150" s="9">
        <v>5.402777777777778</v>
      </c>
      <c r="D150" s="7">
        <v>102372</v>
      </c>
      <c r="E150" s="10">
        <v>117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19">
        <f>IFERROR(INDEX(#REF!,MATCH($D150,#REF!,"")),"")</f>
      </c>
      <c r="AL150" s="19">
        <f>IFERROR(INDEX(#REF!,MATCH($D150,#REF!,"")),"")</f>
      </c>
      <c r="AM150" s="19">
        <f>IFERROR(INDEX(#REF!,MATCH($D150,#REF!,"")),"")</f>
      </c>
      <c r="AN150" s="19">
        <f>IFERROR(INDEX(#REF!,MATCH($D150,#REF!,0)),"")</f>
      </c>
    </row>
    <row x14ac:dyDescent="0.25" r="151" customHeight="1" ht="18.75">
      <c r="A151" s="7">
        <v>101240309</v>
      </c>
      <c r="B151" s="8">
        <v>45909</v>
      </c>
      <c r="C151" s="9">
        <v>5.409722222222222</v>
      </c>
      <c r="D151" s="7">
        <v>102574</v>
      </c>
      <c r="E151" s="10">
        <v>56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19">
        <f>IFERROR(INDEX(#REF!,MATCH($D151,#REF!,"")),"")</f>
      </c>
      <c r="AL151" s="19">
        <f>IFERROR(INDEX(#REF!,MATCH($D151,#REF!,"")),"")</f>
      </c>
      <c r="AM151" s="19">
        <f>IFERROR(INDEX(#REF!,MATCH($D151,#REF!,"")),"")</f>
      </c>
      <c r="AN151" s="19">
        <f>IFERROR(INDEX(#REF!,MATCH($D151,#REF!,0)),"")</f>
      </c>
    </row>
    <row x14ac:dyDescent="0.25" r="152" customHeight="1" ht="18.75">
      <c r="A152" s="7">
        <v>101240310</v>
      </c>
      <c r="B152" s="8">
        <v>45909</v>
      </c>
      <c r="C152" s="9">
        <v>5.416666666666667</v>
      </c>
      <c r="D152" s="7">
        <v>102642</v>
      </c>
      <c r="E152" s="10">
        <v>98</v>
      </c>
      <c r="F152" s="6" t="s">
        <v>8</v>
      </c>
      <c r="G152" s="6"/>
      <c r="H152" s="6" t="s">
        <v>169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 t="s">
        <v>169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19">
        <f>IFERROR(INDEX(#REF!,MATCH($D152,#REF!,"")),"")</f>
      </c>
      <c r="AL152" s="19">
        <f>IFERROR(INDEX(#REF!,MATCH($D152,#REF!,"")),"")</f>
      </c>
      <c r="AM152" s="19">
        <f>IFERROR(INDEX(#REF!,MATCH($D152,#REF!,"")),"")</f>
      </c>
      <c r="AN152" s="19">
        <f>IFERROR(INDEX(#REF!,MATCH($D152,#REF!,0)),"")</f>
      </c>
    </row>
    <row x14ac:dyDescent="0.25" r="153" customHeight="1" ht="18.75">
      <c r="A153" s="7">
        <v>101240314</v>
      </c>
      <c r="B153" s="8">
        <v>45909</v>
      </c>
      <c r="C153" s="9">
        <v>5.430555555555555</v>
      </c>
      <c r="D153" s="7">
        <v>109428</v>
      </c>
      <c r="E153" s="10">
        <v>768</v>
      </c>
      <c r="F153" s="6" t="s">
        <v>8</v>
      </c>
      <c r="G153" s="6"/>
      <c r="H153" s="6" t="s">
        <v>163</v>
      </c>
      <c r="I153" s="6" t="s">
        <v>169</v>
      </c>
      <c r="J153" s="6" t="s">
        <v>170</v>
      </c>
      <c r="K153" s="6" t="s">
        <v>175</v>
      </c>
      <c r="L153" s="6" t="s">
        <v>171</v>
      </c>
      <c r="M153" s="6" t="s">
        <v>145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 t="s">
        <v>12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19">
        <f>IFERROR(INDEX(#REF!,MATCH($D153,#REF!,"")),"")</f>
      </c>
      <c r="AL153" s="19">
        <f>IFERROR(INDEX(#REF!,MATCH($D153,#REF!,"")),"")</f>
      </c>
      <c r="AM153" s="19">
        <f>IFERROR(INDEX(#REF!,MATCH($D153,#REF!,"")),"")</f>
      </c>
      <c r="AN153" s="19">
        <f>IFERROR(INDEX(#REF!,MATCH($D153,#REF!,0)),"")</f>
      </c>
    </row>
    <row x14ac:dyDescent="0.25" r="154" customHeight="1" ht="18.75">
      <c r="A154" s="7">
        <v>101240316</v>
      </c>
      <c r="B154" s="8">
        <v>45909</v>
      </c>
      <c r="C154" s="9">
        <v>5.444444444444445</v>
      </c>
      <c r="D154" s="7">
        <v>109441</v>
      </c>
      <c r="E154" s="10">
        <v>87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19">
        <f>IFERROR(INDEX(#REF!,MATCH($D154,#REF!,"")),"")</f>
      </c>
      <c r="AL154" s="19">
        <f>IFERROR(INDEX(#REF!,MATCH($D154,#REF!,"")),"")</f>
      </c>
      <c r="AM154" s="19">
        <f>IFERROR(INDEX(#REF!,MATCH($D154,#REF!,"")),"")</f>
      </c>
      <c r="AN154" s="19">
        <f>IFERROR(INDEX(#REF!,MATCH($D154,#REF!,0)),"")</f>
      </c>
    </row>
    <row x14ac:dyDescent="0.25" r="155" customHeight="1" ht="18.75">
      <c r="A155" s="7">
        <v>101240318</v>
      </c>
      <c r="B155" s="8">
        <v>45909</v>
      </c>
      <c r="C155" s="9">
        <v>5.458333333333333</v>
      </c>
      <c r="D155" s="7">
        <v>102204</v>
      </c>
      <c r="E155" s="10">
        <v>219</v>
      </c>
      <c r="F155" s="6" t="s">
        <v>8</v>
      </c>
      <c r="G155" s="6" t="s">
        <v>8</v>
      </c>
      <c r="H155" s="6" t="s">
        <v>163</v>
      </c>
      <c r="I155" s="6" t="s">
        <v>15</v>
      </c>
      <c r="J155" s="6" t="s">
        <v>169</v>
      </c>
      <c r="K155" s="6" t="s">
        <v>170</v>
      </c>
      <c r="L155" s="6" t="s">
        <v>171</v>
      </c>
      <c r="M155" s="6" t="s">
        <v>145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 t="s">
        <v>199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19">
        <f>IFERROR(INDEX(#REF!,MATCH($D155,#REF!,"")),"")</f>
      </c>
      <c r="AL155" s="19">
        <f>IFERROR(INDEX(#REF!,MATCH($D155,#REF!,"")),"")</f>
      </c>
      <c r="AM155" s="19">
        <f>IFERROR(INDEX(#REF!,MATCH($D155,#REF!,"")),"")</f>
      </c>
      <c r="AN155" s="19">
        <f>IFERROR(INDEX(#REF!,MATCH($D155,#REF!,0)),"")</f>
      </c>
    </row>
    <row x14ac:dyDescent="0.25" r="156" customHeight="1" ht="18.75">
      <c r="A156" s="7">
        <v>101240319</v>
      </c>
      <c r="B156" s="8">
        <v>45909</v>
      </c>
      <c r="C156" s="9">
        <v>5.472222222222222</v>
      </c>
      <c r="D156" s="7">
        <v>118398</v>
      </c>
      <c r="E156" s="10">
        <v>457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19">
        <f>IFERROR(INDEX(#REF!,MATCH($D156,#REF!,"")),"")</f>
      </c>
      <c r="AL156" s="19">
        <f>IFERROR(INDEX(#REF!,MATCH($D156,#REF!,"")),"")</f>
      </c>
      <c r="AM156" s="19">
        <f>IFERROR(INDEX(#REF!,MATCH($D156,#REF!,"")),"")</f>
      </c>
      <c r="AN156" s="19">
        <f>IFERROR(INDEX(#REF!,MATCH($D156,#REF!,0)),"")</f>
      </c>
    </row>
    <row x14ac:dyDescent="0.25" r="157" customHeight="1" ht="18.75">
      <c r="A157" s="7">
        <v>101240320</v>
      </c>
      <c r="B157" s="8">
        <v>45909</v>
      </c>
      <c r="C157" s="9">
        <v>5.479166666666667</v>
      </c>
      <c r="D157" s="7">
        <v>102563</v>
      </c>
      <c r="E157" s="10">
        <v>178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19">
        <f>IFERROR(INDEX(#REF!,MATCH($D157,#REF!,"")),"")</f>
      </c>
      <c r="AL157" s="19">
        <f>IFERROR(INDEX(#REF!,MATCH($D157,#REF!,"")),"")</f>
      </c>
      <c r="AM157" s="19">
        <f>IFERROR(INDEX(#REF!,MATCH($D157,#REF!,"")),"")</f>
      </c>
      <c r="AN157" s="19">
        <f>IFERROR(INDEX(#REF!,MATCH($D157,#REF!,0)),"")</f>
      </c>
    </row>
    <row x14ac:dyDescent="0.25" r="158" customHeight="1" ht="18.75">
      <c r="A158" s="7">
        <v>101239831</v>
      </c>
      <c r="B158" s="8">
        <v>45909</v>
      </c>
      <c r="C158" s="9">
        <v>5.479166666666667</v>
      </c>
      <c r="D158" s="7">
        <v>102708</v>
      </c>
      <c r="E158" s="10">
        <v>10</v>
      </c>
      <c r="F158" s="6"/>
      <c r="G158" s="6" t="s">
        <v>8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19">
        <f>IFERROR(INDEX(#REF!,MATCH($D158,#REF!,"")),"")</f>
      </c>
      <c r="AL158" s="19">
        <f>IFERROR(INDEX(#REF!,MATCH($D158,#REF!,"")),"")</f>
      </c>
      <c r="AM158" s="19">
        <f>IFERROR(INDEX(#REF!,MATCH($D158,#REF!,"")),"")</f>
      </c>
      <c r="AN158" s="19">
        <f>IFERROR(INDEX(#REF!,MATCH($D158,#REF!,0)),"")</f>
      </c>
    </row>
    <row x14ac:dyDescent="0.25" r="159" customHeight="1" ht="18.75">
      <c r="A159" s="7">
        <v>101240322</v>
      </c>
      <c r="B159" s="8">
        <v>45909</v>
      </c>
      <c r="C159" s="9">
        <v>5.486111111111111</v>
      </c>
      <c r="D159" s="7">
        <v>102495</v>
      </c>
      <c r="E159" s="10">
        <v>41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19">
        <f>IFERROR(INDEX(#REF!,MATCH($D159,#REF!,"")),"")</f>
      </c>
      <c r="AL159" s="19">
        <f>IFERROR(INDEX(#REF!,MATCH($D159,#REF!,"")),"")</f>
      </c>
      <c r="AM159" s="19">
        <f>IFERROR(INDEX(#REF!,MATCH($D159,#REF!,"")),"")</f>
      </c>
      <c r="AN159" s="19">
        <f>IFERROR(INDEX(#REF!,MATCH($D159,#REF!,0)),"")</f>
      </c>
    </row>
    <row x14ac:dyDescent="0.25" r="160" customHeight="1" ht="18.75">
      <c r="A160" s="7">
        <v>101240324</v>
      </c>
      <c r="B160" s="8">
        <v>45909</v>
      </c>
      <c r="C160" s="9">
        <v>5.5</v>
      </c>
      <c r="D160" s="7">
        <v>102609</v>
      </c>
      <c r="E160" s="10">
        <v>204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19">
        <f>IFERROR(INDEX(#REF!,MATCH($D160,#REF!,"")),"")</f>
      </c>
      <c r="AL160" s="19">
        <f>IFERROR(INDEX(#REF!,MATCH($D160,#REF!,"")),"")</f>
      </c>
      <c r="AM160" s="19">
        <f>IFERROR(INDEX(#REF!,MATCH($D160,#REF!,"")),"")</f>
      </c>
      <c r="AN160" s="19">
        <f>IFERROR(INDEX(#REF!,MATCH($D160,#REF!,0)),"")</f>
      </c>
    </row>
    <row x14ac:dyDescent="0.25" r="161" customHeight="1" ht="18.75">
      <c r="A161" s="7">
        <v>101240329</v>
      </c>
      <c r="B161" s="8">
        <v>45909</v>
      </c>
      <c r="C161" s="9">
        <v>5.583333333333333</v>
      </c>
      <c r="D161" s="7">
        <v>102503</v>
      </c>
      <c r="E161" s="10">
        <v>106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19">
        <f>IFERROR(INDEX(#REF!,MATCH($D161,#REF!,"")),"")</f>
      </c>
      <c r="AL161" s="19">
        <f>IFERROR(INDEX(#REF!,MATCH($D161,#REF!,"")),"")</f>
      </c>
      <c r="AM161" s="19">
        <f>IFERROR(INDEX(#REF!,MATCH($D161,#REF!,"")),"")</f>
      </c>
      <c r="AN161" s="19">
        <f>IFERROR(INDEX(#REF!,MATCH($D161,#REF!,0)),"")</f>
      </c>
    </row>
    <row x14ac:dyDescent="0.25" r="162" customHeight="1" ht="18.75">
      <c r="A162" s="7">
        <v>101240330</v>
      </c>
      <c r="B162" s="8">
        <v>45909</v>
      </c>
      <c r="C162" s="9">
        <v>5.590277777777778</v>
      </c>
      <c r="D162" s="7">
        <v>102715</v>
      </c>
      <c r="E162" s="10">
        <v>144</v>
      </c>
      <c r="F162" s="6"/>
      <c r="G162" s="6"/>
      <c r="H162" s="6" t="s">
        <v>18</v>
      </c>
      <c r="I162" s="6" t="s">
        <v>176</v>
      </c>
      <c r="J162" s="6" t="s">
        <v>177</v>
      </c>
      <c r="K162" s="6" t="s">
        <v>178</v>
      </c>
      <c r="L162" s="6" t="s">
        <v>179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 t="s">
        <v>21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19">
        <f>IFERROR(INDEX(#REF!,MATCH($D162,#REF!,"")),"")</f>
      </c>
      <c r="AL162" s="19">
        <f>IFERROR(INDEX(#REF!,MATCH($D162,#REF!,"")),"")</f>
      </c>
      <c r="AM162" s="19">
        <f>IFERROR(INDEX(#REF!,MATCH($D162,#REF!,"")),"")</f>
      </c>
      <c r="AN162" s="19">
        <f>IFERROR(INDEX(#REF!,MATCH($D162,#REF!,0)),"")</f>
      </c>
    </row>
    <row x14ac:dyDescent="0.25" r="163" customHeight="1" ht="18.75">
      <c r="A163" s="7">
        <v>101240621</v>
      </c>
      <c r="B163" s="8">
        <v>45910</v>
      </c>
      <c r="C163" s="9">
        <v>5.4375</v>
      </c>
      <c r="D163" s="7">
        <v>120496</v>
      </c>
      <c r="E163" s="10">
        <v>244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19">
        <f>IFERROR(INDEX(#REF!,MATCH($D163,#REF!,"")),"")</f>
      </c>
      <c r="AL163" s="19">
        <f>IFERROR(INDEX(#REF!,MATCH($D163,#REF!,"")),"")</f>
      </c>
      <c r="AM163" s="19">
        <f>IFERROR(INDEX(#REF!,MATCH($D163,#REF!,"")),"")</f>
      </c>
      <c r="AN163" s="19">
        <f>IFERROR(INDEX(#REF!,MATCH($D163,#REF!,0)),"")</f>
      </c>
    </row>
    <row x14ac:dyDescent="0.25" r="164" customHeight="1" ht="18.75">
      <c r="A164" s="7">
        <v>101258383</v>
      </c>
      <c r="B164" s="8">
        <v>45910</v>
      </c>
      <c r="C164" s="9"/>
      <c r="D164" s="7">
        <v>116809</v>
      </c>
      <c r="E164" s="10">
        <v>223</v>
      </c>
      <c r="F164" s="6"/>
      <c r="G164" s="6" t="s">
        <v>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19">
        <f>IFERROR(INDEX(#REF!,MATCH($D164,#REF!,"")),"")</f>
      </c>
      <c r="AL164" s="19">
        <f>IFERROR(INDEX(#REF!,MATCH($D164,#REF!,"")),"")</f>
      </c>
      <c r="AM164" s="19">
        <f>IFERROR(INDEX(#REF!,MATCH($D164,#REF!,"")),"")</f>
      </c>
      <c r="AN164" s="19">
        <f>IFERROR(INDEX(#REF!,MATCH($D164,#REF!,0)),"")</f>
      </c>
    </row>
    <row x14ac:dyDescent="0.25" r="165" customHeight="1" ht="18.75">
      <c r="A165" s="7">
        <v>101258390</v>
      </c>
      <c r="B165" s="8">
        <v>45910</v>
      </c>
      <c r="C165" s="9">
        <v>5.001388888888889</v>
      </c>
      <c r="D165" s="7">
        <v>102201</v>
      </c>
      <c r="E165" s="10">
        <v>402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19">
        <f>IFERROR(INDEX(#REF!,MATCH($D165,#REF!,"")),"")</f>
      </c>
      <c r="AL165" s="19">
        <f>IFERROR(INDEX(#REF!,MATCH($D165,#REF!,"")),"")</f>
      </c>
      <c r="AM165" s="19">
        <f>IFERROR(INDEX(#REF!,MATCH($D165,#REF!,"")),"")</f>
      </c>
      <c r="AN165" s="19">
        <f>IFERROR(INDEX(#REF!,MATCH($D165,#REF!,0)),"")</f>
      </c>
    </row>
    <row x14ac:dyDescent="0.25" r="166" customHeight="1" ht="18.75">
      <c r="A166" s="7">
        <v>101258395</v>
      </c>
      <c r="B166" s="8">
        <v>45910</v>
      </c>
      <c r="C166" s="9">
        <v>5.002083333333333</v>
      </c>
      <c r="D166" s="7">
        <v>102325</v>
      </c>
      <c r="E166" s="10">
        <v>529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19">
        <f>IFERROR(INDEX(#REF!,MATCH($D166,#REF!,"")),"")</f>
      </c>
      <c r="AL166" s="19">
        <f>IFERROR(INDEX(#REF!,MATCH($D166,#REF!,"")),"")</f>
      </c>
      <c r="AM166" s="19">
        <f>IFERROR(INDEX(#REF!,MATCH($D166,#REF!,"")),"")</f>
      </c>
      <c r="AN166" s="19">
        <f>IFERROR(INDEX(#REF!,MATCH($D166,#REF!,0)),"")</f>
      </c>
    </row>
    <row x14ac:dyDescent="0.25" r="167" customHeight="1" ht="18.75">
      <c r="A167" s="7">
        <v>101258397</v>
      </c>
      <c r="B167" s="8">
        <v>45910</v>
      </c>
      <c r="C167" s="9">
        <v>5.002777777777778</v>
      </c>
      <c r="D167" s="7">
        <v>102188</v>
      </c>
      <c r="E167" s="10">
        <v>130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19">
        <f>IFERROR(INDEX(#REF!,MATCH($D167,#REF!,"")),"")</f>
      </c>
      <c r="AL167" s="19">
        <f>IFERROR(INDEX(#REF!,MATCH($D167,#REF!,"")),"")</f>
      </c>
      <c r="AM167" s="19">
        <f>IFERROR(INDEX(#REF!,MATCH($D167,#REF!,"")),"")</f>
      </c>
      <c r="AN167" s="19">
        <f>IFERROR(INDEX(#REF!,MATCH($D167,#REF!,0)),"")</f>
      </c>
    </row>
    <row x14ac:dyDescent="0.25" r="168" customHeight="1" ht="18.75">
      <c r="A168" s="7">
        <v>101258413</v>
      </c>
      <c r="B168" s="8">
        <v>45910</v>
      </c>
      <c r="C168" s="9">
        <v>5.002777777777778</v>
      </c>
      <c r="D168" s="7">
        <v>102284</v>
      </c>
      <c r="E168" s="10">
        <v>280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19">
        <f>IFERROR(INDEX(#REF!,MATCH($D168,#REF!,"")),"")</f>
      </c>
      <c r="AL168" s="19">
        <f>IFERROR(INDEX(#REF!,MATCH($D168,#REF!,"")),"")</f>
      </c>
      <c r="AM168" s="19">
        <f>IFERROR(INDEX(#REF!,MATCH($D168,#REF!,"")),"")</f>
      </c>
      <c r="AN168" s="19">
        <f>IFERROR(INDEX(#REF!,MATCH($D168,#REF!,0)),"")</f>
      </c>
    </row>
    <row x14ac:dyDescent="0.25" r="169" customHeight="1" ht="18.75">
      <c r="A169" s="7">
        <v>101258406</v>
      </c>
      <c r="B169" s="8">
        <v>45910</v>
      </c>
      <c r="C169" s="9">
        <v>5.002777777777778</v>
      </c>
      <c r="D169" s="7">
        <v>109636</v>
      </c>
      <c r="E169" s="10">
        <v>91</v>
      </c>
      <c r="F169" s="6" t="s">
        <v>8</v>
      </c>
      <c r="G169" s="6"/>
      <c r="H169" s="6" t="s">
        <v>163</v>
      </c>
      <c r="I169" s="6" t="s">
        <v>169</v>
      </c>
      <c r="J169" s="6" t="s">
        <v>170</v>
      </c>
      <c r="K169" s="6" t="s">
        <v>175</v>
      </c>
      <c r="L169" s="6" t="s">
        <v>171</v>
      </c>
      <c r="M169" s="6" t="s">
        <v>145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 t="s">
        <v>12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19">
        <f>IFERROR(INDEX(#REF!,MATCH($D169,#REF!,"")),"")</f>
      </c>
      <c r="AL169" s="19">
        <f>IFERROR(INDEX(#REF!,MATCH($D169,#REF!,"")),"")</f>
      </c>
      <c r="AM169" s="19">
        <f>IFERROR(INDEX(#REF!,MATCH($D169,#REF!,"")),"")</f>
      </c>
      <c r="AN169" s="19">
        <f>IFERROR(INDEX(#REF!,MATCH($D169,#REF!,0)),"")</f>
      </c>
    </row>
    <row x14ac:dyDescent="0.25" r="170" customHeight="1" ht="18.75">
      <c r="A170" s="7">
        <v>101258409</v>
      </c>
      <c r="B170" s="8">
        <v>45910</v>
      </c>
      <c r="C170" s="9">
        <v>5.002777777777778</v>
      </c>
      <c r="D170" s="7">
        <v>122659</v>
      </c>
      <c r="E170" s="10">
        <v>52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19">
        <f>IFERROR(INDEX(#REF!,MATCH($D170,#REF!,"")),"")</f>
      </c>
      <c r="AL170" s="19">
        <f>IFERROR(INDEX(#REF!,MATCH($D170,#REF!,"")),"")</f>
      </c>
      <c r="AM170" s="19">
        <f>IFERROR(INDEX(#REF!,MATCH($D170,#REF!,"")),"")</f>
      </c>
      <c r="AN170" s="19">
        <f>IFERROR(INDEX(#REF!,MATCH($D170,#REF!,0)),"")</f>
      </c>
    </row>
    <row x14ac:dyDescent="0.25" r="171" customHeight="1" ht="18.75">
      <c r="A171" s="7">
        <v>101240612</v>
      </c>
      <c r="B171" s="8">
        <v>45910</v>
      </c>
      <c r="C171" s="9">
        <v>5.361111111111111</v>
      </c>
      <c r="D171" s="7">
        <v>118688</v>
      </c>
      <c r="E171" s="10">
        <v>682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19">
        <f>IFERROR(INDEX(#REF!,MATCH($D171,#REF!,"")),"")</f>
      </c>
      <c r="AL171" s="19">
        <f>IFERROR(INDEX(#REF!,MATCH($D171,#REF!,"")),"")</f>
      </c>
      <c r="AM171" s="19">
        <f>IFERROR(INDEX(#REF!,MATCH($D171,#REF!,"")),"")</f>
      </c>
      <c r="AN171" s="19">
        <f>IFERROR(INDEX(#REF!,MATCH($D171,#REF!,0)),"")</f>
      </c>
    </row>
    <row x14ac:dyDescent="0.25" r="172" customHeight="1" ht="18.75">
      <c r="A172" s="7">
        <v>101240613</v>
      </c>
      <c r="B172" s="8">
        <v>45910</v>
      </c>
      <c r="C172" s="9">
        <v>5.368055555555555</v>
      </c>
      <c r="D172" s="7">
        <v>123468</v>
      </c>
      <c r="E172" s="10">
        <v>100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19">
        <f>IFERROR(INDEX(#REF!,MATCH($D172,#REF!,"")),"")</f>
      </c>
      <c r="AL172" s="19">
        <f>IFERROR(INDEX(#REF!,MATCH($D172,#REF!,"")),"")</f>
      </c>
      <c r="AM172" s="19">
        <f>IFERROR(INDEX(#REF!,MATCH($D172,#REF!,"")),"")</f>
      </c>
      <c r="AN172" s="19">
        <f>IFERROR(INDEX(#REF!,MATCH($D172,#REF!,0)),"")</f>
      </c>
    </row>
    <row x14ac:dyDescent="0.25" r="173" customHeight="1" ht="18.75">
      <c r="A173" s="7">
        <v>101240614</v>
      </c>
      <c r="B173" s="8">
        <v>45910</v>
      </c>
      <c r="C173" s="9">
        <v>5.375</v>
      </c>
      <c r="D173" s="7">
        <v>120293</v>
      </c>
      <c r="E173" s="10">
        <v>202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19">
        <f>IFERROR(INDEX(#REF!,MATCH($D173,#REF!,"")),"")</f>
      </c>
      <c r="AL173" s="19">
        <f>IFERROR(INDEX(#REF!,MATCH($D173,#REF!,"")),"")</f>
      </c>
      <c r="AM173" s="19">
        <f>IFERROR(INDEX(#REF!,MATCH($D173,#REF!,"")),"")</f>
      </c>
      <c r="AN173" s="19">
        <f>IFERROR(INDEX(#REF!,MATCH($D173,#REF!,0)),"")</f>
      </c>
    </row>
    <row x14ac:dyDescent="0.25" r="174" customHeight="1" ht="18.75">
      <c r="A174" s="7">
        <v>101240616</v>
      </c>
      <c r="B174" s="8">
        <v>45910</v>
      </c>
      <c r="C174" s="9">
        <v>5.388888888888889</v>
      </c>
      <c r="D174" s="7">
        <v>122826</v>
      </c>
      <c r="E174" s="10">
        <v>724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19">
        <f>IFERROR(INDEX(#REF!,MATCH($D174,#REF!,"")),"")</f>
      </c>
      <c r="AL174" s="19">
        <f>IFERROR(INDEX(#REF!,MATCH($D174,#REF!,"")),"")</f>
      </c>
      <c r="AM174" s="19">
        <f>IFERROR(INDEX(#REF!,MATCH($D174,#REF!,"")),"")</f>
      </c>
      <c r="AN174" s="19">
        <f>IFERROR(INDEX(#REF!,MATCH($D174,#REF!,0)),"")</f>
      </c>
    </row>
    <row x14ac:dyDescent="0.25" r="175" customHeight="1" ht="18.75">
      <c r="A175" s="7">
        <v>101240617</v>
      </c>
      <c r="B175" s="8">
        <v>45910</v>
      </c>
      <c r="C175" s="9">
        <v>5.395833333333333</v>
      </c>
      <c r="D175" s="7">
        <v>117273</v>
      </c>
      <c r="E175" s="10">
        <v>185</v>
      </c>
      <c r="F175" s="6" t="s">
        <v>8</v>
      </c>
      <c r="G175" s="6"/>
      <c r="H175" s="6" t="s">
        <v>163</v>
      </c>
      <c r="I175" s="6" t="s">
        <v>185</v>
      </c>
      <c r="J175" s="6" t="s">
        <v>186</v>
      </c>
      <c r="K175" s="6" t="s">
        <v>187</v>
      </c>
      <c r="L175" s="6" t="s">
        <v>167</v>
      </c>
      <c r="M175" s="6" t="s">
        <v>133</v>
      </c>
      <c r="N175" s="6" t="s">
        <v>168</v>
      </c>
      <c r="O175" s="6" t="s">
        <v>169</v>
      </c>
      <c r="P175" s="6" t="s">
        <v>170</v>
      </c>
      <c r="Q175" s="6" t="s">
        <v>175</v>
      </c>
      <c r="R175" s="6" t="s">
        <v>171</v>
      </c>
      <c r="S175" s="6" t="s">
        <v>145</v>
      </c>
      <c r="T175" s="6"/>
      <c r="U175" s="6"/>
      <c r="V175" s="6"/>
      <c r="W175" s="6"/>
      <c r="X175" s="6"/>
      <c r="Y175" s="6"/>
      <c r="Z175" s="6"/>
      <c r="AA175" s="6" t="s">
        <v>200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19">
        <f>IFERROR(INDEX(#REF!,MATCH($D175,#REF!,"")),"")</f>
      </c>
      <c r="AL175" s="19">
        <f>IFERROR(INDEX(#REF!,MATCH($D175,#REF!,"")),"")</f>
      </c>
      <c r="AM175" s="19">
        <f>IFERROR(INDEX(#REF!,MATCH($D175,#REF!,"")),"")</f>
      </c>
      <c r="AN175" s="19">
        <f>IFERROR(INDEX(#REF!,MATCH($D175,#REF!,0)),"")</f>
      </c>
    </row>
    <row x14ac:dyDescent="0.25" r="176" customHeight="1" ht="18.75">
      <c r="A176" s="7">
        <v>101240618</v>
      </c>
      <c r="B176" s="8">
        <v>45910</v>
      </c>
      <c r="C176" s="9">
        <v>5.402777777777778</v>
      </c>
      <c r="D176" s="7">
        <v>102550</v>
      </c>
      <c r="E176" s="10">
        <v>156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19">
        <f>IFERROR(INDEX(#REF!,MATCH($D176,#REF!,"")),"")</f>
      </c>
      <c r="AL176" s="19">
        <f>IFERROR(INDEX(#REF!,MATCH($D176,#REF!,"")),"")</f>
      </c>
      <c r="AM176" s="19">
        <f>IFERROR(INDEX(#REF!,MATCH($D176,#REF!,"")),"")</f>
      </c>
      <c r="AN176" s="19">
        <f>IFERROR(INDEX(#REF!,MATCH($D176,#REF!,0)),"")</f>
      </c>
    </row>
    <row x14ac:dyDescent="0.25" r="177" customHeight="1" ht="18.75">
      <c r="A177" s="7">
        <v>101242898</v>
      </c>
      <c r="B177" s="8">
        <v>45910</v>
      </c>
      <c r="C177" s="9">
        <v>5.416666666666667</v>
      </c>
      <c r="D177" s="7">
        <v>102329</v>
      </c>
      <c r="E177" s="10">
        <v>5</v>
      </c>
      <c r="F177" s="6" t="s">
        <v>8</v>
      </c>
      <c r="G177" s="6"/>
      <c r="H177" s="6" t="s">
        <v>163</v>
      </c>
      <c r="I177" s="6" t="s">
        <v>169</v>
      </c>
      <c r="J177" s="6" t="s">
        <v>170</v>
      </c>
      <c r="K177" s="6" t="s">
        <v>171</v>
      </c>
      <c r="L177" s="6" t="s">
        <v>145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 t="s">
        <v>11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19">
        <f>IFERROR(INDEX(#REF!,MATCH($D177,#REF!,"")),"")</f>
      </c>
      <c r="AL177" s="19">
        <f>IFERROR(INDEX(#REF!,MATCH($D177,#REF!,"")),"")</f>
      </c>
      <c r="AM177" s="19">
        <f>IFERROR(INDEX(#REF!,MATCH($D177,#REF!,"")),"")</f>
      </c>
      <c r="AN177" s="19">
        <f>IFERROR(INDEX(#REF!,MATCH($D177,#REF!,0)),"")</f>
      </c>
    </row>
    <row x14ac:dyDescent="0.25" r="178" customHeight="1" ht="18.75">
      <c r="A178" s="7">
        <v>101240620</v>
      </c>
      <c r="B178" s="8">
        <v>45910</v>
      </c>
      <c r="C178" s="9">
        <v>5.416666666666667</v>
      </c>
      <c r="D178" s="7">
        <v>102407</v>
      </c>
      <c r="E178" s="10">
        <v>281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19">
        <f>IFERROR(INDEX(#REF!,MATCH($D178,#REF!,"")),"")</f>
      </c>
      <c r="AL178" s="19">
        <f>IFERROR(INDEX(#REF!,MATCH($D178,#REF!,"")),"")</f>
      </c>
      <c r="AM178" s="19">
        <f>IFERROR(INDEX(#REF!,MATCH($D178,#REF!,"")),"")</f>
      </c>
      <c r="AN178" s="19">
        <f>IFERROR(INDEX(#REF!,MATCH($D178,#REF!,0)),"")</f>
      </c>
    </row>
    <row x14ac:dyDescent="0.25" r="179" customHeight="1" ht="18.75">
      <c r="A179" s="7">
        <v>101240622</v>
      </c>
      <c r="B179" s="8">
        <v>45910</v>
      </c>
      <c r="C179" s="9">
        <v>5.430555555555555</v>
      </c>
      <c r="D179" s="7">
        <v>114762</v>
      </c>
      <c r="E179" s="10">
        <v>54</v>
      </c>
      <c r="F179" s="6" t="s">
        <v>8</v>
      </c>
      <c r="G179" s="6"/>
      <c r="H179" s="6" t="s">
        <v>18</v>
      </c>
      <c r="I179" s="6" t="s">
        <v>163</v>
      </c>
      <c r="J179" s="6" t="s">
        <v>169</v>
      </c>
      <c r="K179" s="6" t="s">
        <v>170</v>
      </c>
      <c r="L179" s="6" t="s">
        <v>175</v>
      </c>
      <c r="M179" s="6" t="s">
        <v>171</v>
      </c>
      <c r="N179" s="6" t="s">
        <v>145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 t="s">
        <v>201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19">
        <f>IFERROR(INDEX(#REF!,MATCH($D179,#REF!,"")),"")</f>
      </c>
      <c r="AL179" s="19">
        <f>IFERROR(INDEX(#REF!,MATCH($D179,#REF!,"")),"")</f>
      </c>
      <c r="AM179" s="19">
        <f>IFERROR(INDEX(#REF!,MATCH($D179,#REF!,"")),"")</f>
      </c>
      <c r="AN179" s="19">
        <f>IFERROR(INDEX(#REF!,MATCH($D179,#REF!,0)),"")</f>
      </c>
    </row>
    <row x14ac:dyDescent="0.25" r="180" customHeight="1" ht="18.75">
      <c r="A180" s="7">
        <v>101240623</v>
      </c>
      <c r="B180" s="8">
        <v>45910</v>
      </c>
      <c r="C180" s="9">
        <v>5.4375</v>
      </c>
      <c r="D180" s="7">
        <v>102247</v>
      </c>
      <c r="E180" s="10">
        <v>273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19">
        <f>IFERROR(INDEX(#REF!,MATCH($D180,#REF!,"")),"")</f>
      </c>
      <c r="AL180" s="19">
        <f>IFERROR(INDEX(#REF!,MATCH($D180,#REF!,"")),"")</f>
      </c>
      <c r="AM180" s="19">
        <f>IFERROR(INDEX(#REF!,MATCH($D180,#REF!,"")),"")</f>
      </c>
      <c r="AN180" s="19">
        <f>IFERROR(INDEX(#REF!,MATCH($D180,#REF!,0)),"")</f>
      </c>
    </row>
    <row x14ac:dyDescent="0.25" r="181" customHeight="1" ht="18.75">
      <c r="A181" s="7">
        <v>101240626</v>
      </c>
      <c r="B181" s="8">
        <v>45910</v>
      </c>
      <c r="C181" s="9">
        <v>5.458333333333333</v>
      </c>
      <c r="D181" s="7">
        <v>102705</v>
      </c>
      <c r="E181" s="10">
        <v>96</v>
      </c>
      <c r="F181" s="6" t="s">
        <v>8</v>
      </c>
      <c r="G181" s="6"/>
      <c r="H181" s="6" t="s">
        <v>169</v>
      </c>
      <c r="I181" s="6" t="s">
        <v>170</v>
      </c>
      <c r="J181" s="6" t="s">
        <v>171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 t="s">
        <v>20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19">
        <f>IFERROR(INDEX(#REF!,MATCH($D181,#REF!,"")),"")</f>
      </c>
      <c r="AL181" s="19">
        <f>IFERROR(INDEX(#REF!,MATCH($D181,#REF!,"")),"")</f>
      </c>
      <c r="AM181" s="19">
        <f>IFERROR(INDEX(#REF!,MATCH($D181,#REF!,"")),"")</f>
      </c>
      <c r="AN181" s="19">
        <f>IFERROR(INDEX(#REF!,MATCH($D181,#REF!,0)),"")</f>
      </c>
    </row>
    <row x14ac:dyDescent="0.25" r="182" customHeight="1" ht="18.75">
      <c r="A182" s="7">
        <v>101240627</v>
      </c>
      <c r="B182" s="8">
        <v>45910</v>
      </c>
      <c r="C182" s="9">
        <v>5.465277777777778</v>
      </c>
      <c r="D182" s="7">
        <v>102741</v>
      </c>
      <c r="E182" s="10">
        <v>210</v>
      </c>
      <c r="F182" s="6"/>
      <c r="G182" s="6"/>
      <c r="H182" s="6" t="s">
        <v>18</v>
      </c>
      <c r="I182" s="6" t="s">
        <v>168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 t="s">
        <v>202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19">
        <f>IFERROR(INDEX(#REF!,MATCH($D182,#REF!,"")),"")</f>
      </c>
      <c r="AL182" s="19">
        <f>IFERROR(INDEX(#REF!,MATCH($D182,#REF!,"")),"")</f>
      </c>
      <c r="AM182" s="19">
        <f>IFERROR(INDEX(#REF!,MATCH($D182,#REF!,"")),"")</f>
      </c>
      <c r="AN182" s="19">
        <f>IFERROR(INDEX(#REF!,MATCH($D182,#REF!,0)),"")</f>
      </c>
    </row>
    <row x14ac:dyDescent="0.25" r="183" customHeight="1" ht="18.75">
      <c r="A183" s="7">
        <v>101240631</v>
      </c>
      <c r="B183" s="8">
        <v>45910</v>
      </c>
      <c r="C183" s="9">
        <v>5.493055555555555</v>
      </c>
      <c r="D183" s="7">
        <v>102306</v>
      </c>
      <c r="E183" s="10">
        <v>15</v>
      </c>
      <c r="F183" s="6" t="s">
        <v>8</v>
      </c>
      <c r="G183" s="6"/>
      <c r="H183" s="6" t="s">
        <v>163</v>
      </c>
      <c r="I183" s="6" t="s">
        <v>169</v>
      </c>
      <c r="J183" s="6" t="s">
        <v>170</v>
      </c>
      <c r="K183" s="6" t="s">
        <v>175</v>
      </c>
      <c r="L183" s="6" t="s">
        <v>171</v>
      </c>
      <c r="M183" s="6" t="s">
        <v>145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 t="s">
        <v>12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19">
        <f>IFERROR(INDEX(#REF!,MATCH($D183,#REF!,"")),"")</f>
      </c>
      <c r="AL183" s="19">
        <f>IFERROR(INDEX(#REF!,MATCH($D183,#REF!,"")),"")</f>
      </c>
      <c r="AM183" s="19">
        <f>IFERROR(INDEX(#REF!,MATCH($D183,#REF!,"")),"")</f>
      </c>
      <c r="AN183" s="19">
        <f>IFERROR(INDEX(#REF!,MATCH($D183,#REF!,0)),"")</f>
      </c>
    </row>
    <row x14ac:dyDescent="0.25" r="184" customHeight="1" ht="18.75">
      <c r="A184" s="7">
        <v>101240632</v>
      </c>
      <c r="B184" s="8">
        <v>45910</v>
      </c>
      <c r="C184" s="9">
        <v>5.5</v>
      </c>
      <c r="D184" s="7">
        <v>102239</v>
      </c>
      <c r="E184" s="10">
        <v>50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19">
        <f>IFERROR(INDEX(#REF!,MATCH($D184,#REF!,"")),"")</f>
      </c>
      <c r="AL184" s="19">
        <f>IFERROR(INDEX(#REF!,MATCH($D184,#REF!,"")),"")</f>
      </c>
      <c r="AM184" s="19">
        <f>IFERROR(INDEX(#REF!,MATCH($D184,#REF!,"")),"")</f>
      </c>
      <c r="AN184" s="19">
        <f>IFERROR(INDEX(#REF!,MATCH($D184,#REF!,0)),"")</f>
      </c>
    </row>
    <row x14ac:dyDescent="0.25" r="185" customHeight="1" ht="18.75">
      <c r="A185" s="7">
        <v>101240634</v>
      </c>
      <c r="B185" s="8">
        <v>45910</v>
      </c>
      <c r="C185" s="9">
        <v>5.513888888888889</v>
      </c>
      <c r="D185" s="7">
        <v>102630</v>
      </c>
      <c r="E185" s="10">
        <v>86</v>
      </c>
      <c r="F185" s="6" t="s">
        <v>8</v>
      </c>
      <c r="G185" s="6"/>
      <c r="H185" s="6" t="s">
        <v>163</v>
      </c>
      <c r="I185" s="6" t="s">
        <v>169</v>
      </c>
      <c r="J185" s="6" t="s">
        <v>170</v>
      </c>
      <c r="K185" s="6" t="s">
        <v>175</v>
      </c>
      <c r="L185" s="6" t="s">
        <v>171</v>
      </c>
      <c r="M185" s="6" t="s">
        <v>145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 t="s">
        <v>12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19">
        <f>IFERROR(INDEX(#REF!,MATCH($D185,#REF!,"")),"")</f>
      </c>
      <c r="AL185" s="19">
        <f>IFERROR(INDEX(#REF!,MATCH($D185,#REF!,"")),"")</f>
      </c>
      <c r="AM185" s="19">
        <f>IFERROR(INDEX(#REF!,MATCH($D185,#REF!,"")),"")</f>
      </c>
      <c r="AN185" s="19">
        <f>IFERROR(INDEX(#REF!,MATCH($D185,#REF!,0)),"")</f>
      </c>
    </row>
    <row x14ac:dyDescent="0.25" r="186" customHeight="1" ht="18.75">
      <c r="A186" s="7">
        <v>101240635</v>
      </c>
      <c r="B186" s="8">
        <v>45910</v>
      </c>
      <c r="C186" s="9">
        <v>5.583333333333333</v>
      </c>
      <c r="D186" s="7">
        <v>102618</v>
      </c>
      <c r="E186" s="10">
        <v>104</v>
      </c>
      <c r="F186" s="6"/>
      <c r="G186" s="6" t="s">
        <v>8</v>
      </c>
      <c r="H186" s="6" t="s">
        <v>18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 t="s">
        <v>18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19">
        <f>IFERROR(INDEX(#REF!,MATCH($D186,#REF!,"")),"")</f>
      </c>
      <c r="AL186" s="19">
        <f>IFERROR(INDEX(#REF!,MATCH($D186,#REF!,"")),"")</f>
      </c>
      <c r="AM186" s="19">
        <f>IFERROR(INDEX(#REF!,MATCH($D186,#REF!,"")),"")</f>
      </c>
      <c r="AN186" s="19">
        <f>IFERROR(INDEX(#REF!,MATCH($D186,#REF!,0)),"")</f>
      </c>
    </row>
    <row x14ac:dyDescent="0.25" r="187" customHeight="1" ht="18.75">
      <c r="A187" s="7">
        <v>101240637</v>
      </c>
      <c r="B187" s="8">
        <v>45910</v>
      </c>
      <c r="C187" s="9">
        <v>5.604166666666667</v>
      </c>
      <c r="D187" s="7">
        <v>120294</v>
      </c>
      <c r="E187" s="10">
        <v>90</v>
      </c>
      <c r="F187" s="6"/>
      <c r="G187" s="6" t="s">
        <v>8</v>
      </c>
      <c r="H187" s="6" t="s">
        <v>176</v>
      </c>
      <c r="I187" s="6" t="s">
        <v>177</v>
      </c>
      <c r="J187" s="6" t="s">
        <v>178</v>
      </c>
      <c r="K187" s="6" t="s">
        <v>179</v>
      </c>
      <c r="L187" s="6" t="s">
        <v>203</v>
      </c>
      <c r="M187" s="6" t="s">
        <v>204</v>
      </c>
      <c r="N187" s="6" t="s">
        <v>189</v>
      </c>
      <c r="O187" s="6" t="s">
        <v>190</v>
      </c>
      <c r="P187" s="6" t="s">
        <v>191</v>
      </c>
      <c r="Q187" s="6" t="s">
        <v>192</v>
      </c>
      <c r="R187" s="6" t="s">
        <v>193</v>
      </c>
      <c r="S187" s="6" t="s">
        <v>194</v>
      </c>
      <c r="T187" s="6" t="s">
        <v>195</v>
      </c>
      <c r="U187" s="6"/>
      <c r="V187" s="6"/>
      <c r="W187" s="6"/>
      <c r="X187" s="6"/>
      <c r="Y187" s="6"/>
      <c r="Z187" s="6"/>
      <c r="AA187" s="6" t="s">
        <v>205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19">
        <f>IFERROR(INDEX(#REF!,MATCH($D187,#REF!,"")),"")</f>
      </c>
      <c r="AL187" s="19">
        <f>IFERROR(INDEX(#REF!,MATCH($D187,#REF!,"")),"")</f>
      </c>
      <c r="AM187" s="19">
        <f>IFERROR(INDEX(#REF!,MATCH($D187,#REF!,"")),"")</f>
      </c>
      <c r="AN187" s="19">
        <f>IFERROR(INDEX(#REF!,MATCH($D187,#REF!,0)),"")</f>
      </c>
    </row>
    <row x14ac:dyDescent="0.25" r="188" customHeight="1" ht="18.75">
      <c r="A188" s="7">
        <v>101258429</v>
      </c>
      <c r="B188" s="8">
        <v>45911</v>
      </c>
      <c r="C188" s="9"/>
      <c r="D188" s="7">
        <v>120305</v>
      </c>
      <c r="E188" s="10">
        <v>49</v>
      </c>
      <c r="F188" s="6"/>
      <c r="G188" s="6" t="s">
        <v>8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19">
        <f>IFERROR(INDEX(#REF!,MATCH($D188,#REF!,"")),"")</f>
      </c>
      <c r="AL188" s="19">
        <f>IFERROR(INDEX(#REF!,MATCH($D188,#REF!,"")),"")</f>
      </c>
      <c r="AM188" s="19">
        <f>IFERROR(INDEX(#REF!,MATCH($D188,#REF!,"")),"")</f>
      </c>
      <c r="AN188" s="19">
        <f>IFERROR(INDEX(#REF!,MATCH($D188,#REF!,0)),"")</f>
      </c>
    </row>
    <row x14ac:dyDescent="0.25" r="189" customHeight="1" ht="18.75">
      <c r="A189" s="7">
        <v>101258433</v>
      </c>
      <c r="B189" s="8">
        <v>45911</v>
      </c>
      <c r="C189" s="9">
        <v>5.001388888888889</v>
      </c>
      <c r="D189" s="7">
        <v>111651</v>
      </c>
      <c r="E189" s="10">
        <v>399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19">
        <f>IFERROR(INDEX(#REF!,MATCH($D189,#REF!,"")),"")</f>
      </c>
      <c r="AL189" s="19">
        <f>IFERROR(INDEX(#REF!,MATCH($D189,#REF!,"")),"")</f>
      </c>
      <c r="AM189" s="19">
        <f>IFERROR(INDEX(#REF!,MATCH($D189,#REF!,"")),"")</f>
      </c>
      <c r="AN189" s="19">
        <f>IFERROR(INDEX(#REF!,MATCH($D189,#REF!,0)),"")</f>
      </c>
    </row>
    <row x14ac:dyDescent="0.25" r="190" customHeight="1" ht="18.75">
      <c r="A190" s="7">
        <v>101258436</v>
      </c>
      <c r="B190" s="8">
        <v>45911</v>
      </c>
      <c r="C190" s="9">
        <v>5.002083333333333</v>
      </c>
      <c r="D190" s="7">
        <v>120296</v>
      </c>
      <c r="E190" s="10">
        <v>90</v>
      </c>
      <c r="F190" s="6"/>
      <c r="G190" s="6" t="s">
        <v>8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19">
        <f>IFERROR(INDEX(#REF!,MATCH($D190,#REF!,"")),"")</f>
      </c>
      <c r="AL190" s="19">
        <f>IFERROR(INDEX(#REF!,MATCH($D190,#REF!,"")),"")</f>
      </c>
      <c r="AM190" s="19">
        <f>IFERROR(INDEX(#REF!,MATCH($D190,#REF!,"")),"")</f>
      </c>
      <c r="AN190" s="19">
        <f>IFERROR(INDEX(#REF!,MATCH($D190,#REF!,0)),"")</f>
      </c>
    </row>
    <row x14ac:dyDescent="0.25" r="191" customHeight="1" ht="18.75">
      <c r="A191" s="7">
        <v>101258438</v>
      </c>
      <c r="B191" s="8">
        <v>45911</v>
      </c>
      <c r="C191" s="9">
        <v>5.002777777777778</v>
      </c>
      <c r="D191" s="7">
        <v>102679</v>
      </c>
      <c r="E191" s="10">
        <v>458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19">
        <f>IFERROR(INDEX(#REF!,MATCH($D191,#REF!,"")),"")</f>
      </c>
      <c r="AL191" s="19">
        <f>IFERROR(INDEX(#REF!,MATCH($D191,#REF!,"")),"")</f>
      </c>
      <c r="AM191" s="19">
        <f>IFERROR(INDEX(#REF!,MATCH($D191,#REF!,"")),"")</f>
      </c>
      <c r="AN191" s="19">
        <f>IFERROR(INDEX(#REF!,MATCH($D191,#REF!,0)),"")</f>
      </c>
    </row>
    <row x14ac:dyDescent="0.25" r="192" customHeight="1" ht="18.75">
      <c r="A192" s="7">
        <v>101258439</v>
      </c>
      <c r="B192" s="8">
        <v>45911</v>
      </c>
      <c r="C192" s="9">
        <v>5.003472222222222</v>
      </c>
      <c r="D192" s="7">
        <v>114910</v>
      </c>
      <c r="E192" s="10">
        <v>46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19">
        <f>IFERROR(INDEX(#REF!,MATCH($D192,#REF!,"")),"")</f>
      </c>
      <c r="AL192" s="19">
        <f>IFERROR(INDEX(#REF!,MATCH($D192,#REF!,"")),"")</f>
      </c>
      <c r="AM192" s="19">
        <f>IFERROR(INDEX(#REF!,MATCH($D192,#REF!,"")),"")</f>
      </c>
      <c r="AN192" s="19">
        <f>IFERROR(INDEX(#REF!,MATCH($D192,#REF!,0)),"")</f>
      </c>
    </row>
    <row x14ac:dyDescent="0.25" r="193" customHeight="1" ht="18.75">
      <c r="A193" s="7">
        <v>101258440</v>
      </c>
      <c r="B193" s="8">
        <v>45911</v>
      </c>
      <c r="C193" s="9">
        <v>5.004166666666666</v>
      </c>
      <c r="D193" s="7">
        <v>102404</v>
      </c>
      <c r="E193" s="10">
        <v>283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19">
        <f>IFERROR(INDEX(#REF!,MATCH($D193,#REF!,"")),"")</f>
      </c>
      <c r="AL193" s="19">
        <f>IFERROR(INDEX(#REF!,MATCH($D193,#REF!,"")),"")</f>
      </c>
      <c r="AM193" s="19">
        <f>IFERROR(INDEX(#REF!,MATCH($D193,#REF!,"")),"")</f>
      </c>
      <c r="AN193" s="19">
        <f>IFERROR(INDEX(#REF!,MATCH($D193,#REF!,0)),"")</f>
      </c>
    </row>
    <row x14ac:dyDescent="0.25" r="194" customHeight="1" ht="18.75">
      <c r="A194" s="7">
        <v>101258442</v>
      </c>
      <c r="B194" s="8">
        <v>45911</v>
      </c>
      <c r="C194" s="9">
        <v>5.004861111111111</v>
      </c>
      <c r="D194" s="7">
        <v>102403</v>
      </c>
      <c r="E194" s="10">
        <v>84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19">
        <f>IFERROR(INDEX(#REF!,MATCH($D194,#REF!,"")),"")</f>
      </c>
      <c r="AL194" s="19">
        <f>IFERROR(INDEX(#REF!,MATCH($D194,#REF!,"")),"")</f>
      </c>
      <c r="AM194" s="19">
        <f>IFERROR(INDEX(#REF!,MATCH($D194,#REF!,"")),"")</f>
      </c>
      <c r="AN194" s="19">
        <f>IFERROR(INDEX(#REF!,MATCH($D194,#REF!,0)),"")</f>
      </c>
    </row>
    <row x14ac:dyDescent="0.25" r="195" customHeight="1" ht="18.75">
      <c r="A195" s="7">
        <v>101258445</v>
      </c>
      <c r="B195" s="8">
        <v>45911</v>
      </c>
      <c r="C195" s="9">
        <v>5.00625</v>
      </c>
      <c r="D195" s="7">
        <v>102469</v>
      </c>
      <c r="E195" s="10">
        <v>148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19">
        <f>IFERROR(INDEX(#REF!,MATCH($D195,#REF!,"")),"")</f>
      </c>
      <c r="AL195" s="19">
        <f>IFERROR(INDEX(#REF!,MATCH($D195,#REF!,"")),"")</f>
      </c>
      <c r="AM195" s="19">
        <f>IFERROR(INDEX(#REF!,MATCH($D195,#REF!,"")),"")</f>
      </c>
      <c r="AN195" s="19">
        <f>IFERROR(INDEX(#REF!,MATCH($D195,#REF!,0)),"")</f>
      </c>
    </row>
    <row x14ac:dyDescent="0.25" r="196" customHeight="1" ht="18.75">
      <c r="A196" s="7">
        <v>101240907</v>
      </c>
      <c r="B196" s="8">
        <v>45911</v>
      </c>
      <c r="C196" s="9">
        <v>5.375</v>
      </c>
      <c r="D196" s="7">
        <v>102427</v>
      </c>
      <c r="E196" s="10">
        <v>150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19">
        <f>IFERROR(INDEX(#REF!,MATCH($D196,#REF!,"")),"")</f>
      </c>
      <c r="AL196" s="19">
        <f>IFERROR(INDEX(#REF!,MATCH($D196,#REF!,"")),"")</f>
      </c>
      <c r="AM196" s="19">
        <f>IFERROR(INDEX(#REF!,MATCH($D196,#REF!,"")),"")</f>
      </c>
      <c r="AN196" s="19">
        <f>IFERROR(INDEX(#REF!,MATCH($D196,#REF!,0)),"")</f>
      </c>
    </row>
    <row x14ac:dyDescent="0.25" r="197" customHeight="1" ht="18.75">
      <c r="A197" s="7">
        <v>101240908</v>
      </c>
      <c r="B197" s="8">
        <v>45911</v>
      </c>
      <c r="C197" s="9">
        <v>5.381944444444445</v>
      </c>
      <c r="D197" s="7">
        <v>114709</v>
      </c>
      <c r="E197" s="10">
        <v>462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19">
        <f>IFERROR(INDEX(#REF!,MATCH($D197,#REF!,"")),"")</f>
      </c>
      <c r="AL197" s="19">
        <f>IFERROR(INDEX(#REF!,MATCH($D197,#REF!,"")),"")</f>
      </c>
      <c r="AM197" s="19">
        <f>IFERROR(INDEX(#REF!,MATCH($D197,#REF!,"")),"")</f>
      </c>
      <c r="AN197" s="19">
        <f>IFERROR(INDEX(#REF!,MATCH($D197,#REF!,0)),"")</f>
      </c>
    </row>
    <row x14ac:dyDescent="0.25" r="198" customHeight="1" ht="18.75">
      <c r="A198" s="7">
        <v>101240909</v>
      </c>
      <c r="B198" s="8">
        <v>45911</v>
      </c>
      <c r="C198" s="9">
        <v>5.388888888888889</v>
      </c>
      <c r="D198" s="7">
        <v>114828</v>
      </c>
      <c r="E198" s="10">
        <v>31</v>
      </c>
      <c r="F198" s="6" t="s">
        <v>8</v>
      </c>
      <c r="G198" s="6"/>
      <c r="H198" s="6" t="s">
        <v>18</v>
      </c>
      <c r="I198" s="6" t="s">
        <v>163</v>
      </c>
      <c r="J198" s="6" t="s">
        <v>169</v>
      </c>
      <c r="K198" s="6" t="s">
        <v>170</v>
      </c>
      <c r="L198" s="6" t="s">
        <v>175</v>
      </c>
      <c r="M198" s="6" t="s">
        <v>171</v>
      </c>
      <c r="N198" s="6" t="s">
        <v>145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 t="s">
        <v>201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19">
        <f>IFERROR(INDEX(#REF!,MATCH($D198,#REF!,"")),"")</f>
      </c>
      <c r="AL198" s="19">
        <f>IFERROR(INDEX(#REF!,MATCH($D198,#REF!,"")),"")</f>
      </c>
      <c r="AM198" s="19">
        <f>IFERROR(INDEX(#REF!,MATCH($D198,#REF!,"")),"")</f>
      </c>
      <c r="AN198" s="19">
        <f>IFERROR(INDEX(#REF!,MATCH($D198,#REF!,0)),"")</f>
      </c>
    </row>
    <row x14ac:dyDescent="0.25" r="199" customHeight="1" ht="18.75">
      <c r="A199" s="7">
        <v>101242080</v>
      </c>
      <c r="B199" s="8">
        <v>45911</v>
      </c>
      <c r="C199" s="9">
        <v>5.388888888888889</v>
      </c>
      <c r="D199" s="7">
        <v>120410</v>
      </c>
      <c r="E199" s="10">
        <v>163</v>
      </c>
      <c r="F199" s="6" t="s">
        <v>8</v>
      </c>
      <c r="G199" s="6" t="s">
        <v>8</v>
      </c>
      <c r="H199" s="6" t="s">
        <v>175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 t="s">
        <v>175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19">
        <f>IFERROR(INDEX(#REF!,MATCH($D199,#REF!,"")),"")</f>
      </c>
      <c r="AL199" s="19">
        <f>IFERROR(INDEX(#REF!,MATCH($D199,#REF!,"")),"")</f>
      </c>
      <c r="AM199" s="19">
        <f>IFERROR(INDEX(#REF!,MATCH($D199,#REF!,"")),"")</f>
      </c>
      <c r="AN199" s="19">
        <f>IFERROR(INDEX(#REF!,MATCH($D199,#REF!,0)),"")</f>
      </c>
    </row>
    <row x14ac:dyDescent="0.25" r="200" customHeight="1" ht="18.75">
      <c r="A200" s="7">
        <v>101240914</v>
      </c>
      <c r="B200" s="8">
        <v>45911</v>
      </c>
      <c r="C200" s="9">
        <v>5.395833333333333</v>
      </c>
      <c r="D200" s="7">
        <v>102397</v>
      </c>
      <c r="E200" s="10">
        <v>258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19">
        <f>IFERROR(INDEX(#REF!,MATCH($D200,#REF!,"")),"")</f>
      </c>
      <c r="AL200" s="19">
        <f>IFERROR(INDEX(#REF!,MATCH($D200,#REF!,"")),"")</f>
      </c>
      <c r="AM200" s="19">
        <f>IFERROR(INDEX(#REF!,MATCH($D200,#REF!,"")),"")</f>
      </c>
      <c r="AN200" s="19">
        <f>IFERROR(INDEX(#REF!,MATCH($D200,#REF!,0)),"")</f>
      </c>
    </row>
    <row x14ac:dyDescent="0.25" r="201" customHeight="1" ht="18.75">
      <c r="A201" s="7">
        <v>101240911</v>
      </c>
      <c r="B201" s="8">
        <v>45911</v>
      </c>
      <c r="C201" s="9">
        <v>5.402777777777778</v>
      </c>
      <c r="D201" s="7">
        <v>120308</v>
      </c>
      <c r="E201" s="10">
        <v>299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19">
        <f>IFERROR(INDEX(#REF!,MATCH($D201,#REF!,"")),"")</f>
      </c>
      <c r="AL201" s="19">
        <f>IFERROR(INDEX(#REF!,MATCH($D201,#REF!,"")),"")</f>
      </c>
      <c r="AM201" s="19">
        <f>IFERROR(INDEX(#REF!,MATCH($D201,#REF!,"")),"")</f>
      </c>
      <c r="AN201" s="19">
        <f>IFERROR(INDEX(#REF!,MATCH($D201,#REF!,0)),"")</f>
      </c>
    </row>
    <row x14ac:dyDescent="0.25" r="202" customHeight="1" ht="18.75">
      <c r="A202" s="7">
        <v>101240918</v>
      </c>
      <c r="B202" s="8">
        <v>45911</v>
      </c>
      <c r="C202" s="9">
        <v>5.4375</v>
      </c>
      <c r="D202" s="7">
        <v>102207</v>
      </c>
      <c r="E202" s="10">
        <v>355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19">
        <f>IFERROR(INDEX(#REF!,MATCH($D202,#REF!,"")),"")</f>
      </c>
      <c r="AL202" s="19">
        <f>IFERROR(INDEX(#REF!,MATCH($D202,#REF!,"")),"")</f>
      </c>
      <c r="AM202" s="19">
        <f>IFERROR(INDEX(#REF!,MATCH($D202,#REF!,"")),"")</f>
      </c>
      <c r="AN202" s="19">
        <f>IFERROR(INDEX(#REF!,MATCH($D202,#REF!,0)),"")</f>
      </c>
    </row>
    <row x14ac:dyDescent="0.25" r="203" customHeight="1" ht="18.75">
      <c r="A203" s="7">
        <v>101240926</v>
      </c>
      <c r="B203" s="8">
        <v>45911</v>
      </c>
      <c r="C203" s="9">
        <v>5.4375</v>
      </c>
      <c r="D203" s="7">
        <v>119066</v>
      </c>
      <c r="E203" s="10">
        <v>53</v>
      </c>
      <c r="F203" s="6" t="s">
        <v>8</v>
      </c>
      <c r="G203" s="6"/>
      <c r="H203" s="6" t="s">
        <v>163</v>
      </c>
      <c r="I203" s="6" t="s">
        <v>169</v>
      </c>
      <c r="J203" s="6" t="s">
        <v>170</v>
      </c>
      <c r="K203" s="6" t="s">
        <v>175</v>
      </c>
      <c r="L203" s="6" t="s">
        <v>171</v>
      </c>
      <c r="M203" s="6" t="s">
        <v>145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 t="s">
        <v>12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19">
        <f>IFERROR(INDEX(#REF!,MATCH($D203,#REF!,"")),"")</f>
      </c>
      <c r="AL203" s="19">
        <f>IFERROR(INDEX(#REF!,MATCH($D203,#REF!,"")),"")</f>
      </c>
      <c r="AM203" s="19">
        <f>IFERROR(INDEX(#REF!,MATCH($D203,#REF!,"")),"")</f>
      </c>
      <c r="AN203" s="19">
        <f>IFERROR(INDEX(#REF!,MATCH($D203,#REF!,0)),"")</f>
      </c>
    </row>
    <row x14ac:dyDescent="0.25" r="204" customHeight="1" ht="18.75">
      <c r="A204" s="7">
        <v>101240921</v>
      </c>
      <c r="B204" s="8">
        <v>45911</v>
      </c>
      <c r="C204" s="9">
        <v>5.458333333333333</v>
      </c>
      <c r="D204" s="7">
        <v>102616</v>
      </c>
      <c r="E204" s="10">
        <v>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19">
        <f>IFERROR(INDEX(#REF!,MATCH($D204,#REF!,"")),"")</f>
      </c>
      <c r="AL204" s="19">
        <f>IFERROR(INDEX(#REF!,MATCH($D204,#REF!,"")),"")</f>
      </c>
      <c r="AM204" s="19">
        <f>IFERROR(INDEX(#REF!,MATCH($D204,#REF!,"")),"")</f>
      </c>
      <c r="AN204" s="19">
        <f>IFERROR(INDEX(#REF!,MATCH($D204,#REF!,0)),"")</f>
      </c>
    </row>
    <row x14ac:dyDescent="0.25" r="205" customHeight="1" ht="18.75">
      <c r="A205" s="7">
        <v>101240923</v>
      </c>
      <c r="B205" s="8">
        <v>45911</v>
      </c>
      <c r="C205" s="9">
        <v>5.472222222222222</v>
      </c>
      <c r="D205" s="7">
        <v>109412</v>
      </c>
      <c r="E205" s="10">
        <v>29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19">
        <f>IFERROR(INDEX(#REF!,MATCH($D205,#REF!,"")),"")</f>
      </c>
      <c r="AL205" s="19">
        <f>IFERROR(INDEX(#REF!,MATCH($D205,#REF!,"")),"")</f>
      </c>
      <c r="AM205" s="19">
        <f>IFERROR(INDEX(#REF!,MATCH($D205,#REF!,"")),"")</f>
      </c>
      <c r="AN205" s="19">
        <f>IFERROR(INDEX(#REF!,MATCH($D205,#REF!,0)),"")</f>
      </c>
    </row>
    <row x14ac:dyDescent="0.25" r="206" customHeight="1" ht="18.75">
      <c r="A206" s="7">
        <v>101240925</v>
      </c>
      <c r="B206" s="8">
        <v>45911</v>
      </c>
      <c r="C206" s="9">
        <v>5.486111111111111</v>
      </c>
      <c r="D206" s="7">
        <v>115091</v>
      </c>
      <c r="E206" s="10">
        <v>20</v>
      </c>
      <c r="F206" s="6" t="s">
        <v>8</v>
      </c>
      <c r="G206" s="6"/>
      <c r="H206" s="6" t="s">
        <v>18</v>
      </c>
      <c r="I206" s="6" t="s">
        <v>163</v>
      </c>
      <c r="J206" s="6" t="s">
        <v>169</v>
      </c>
      <c r="K206" s="6" t="s">
        <v>170</v>
      </c>
      <c r="L206" s="6" t="s">
        <v>175</v>
      </c>
      <c r="M206" s="6" t="s">
        <v>171</v>
      </c>
      <c r="N206" s="6" t="s">
        <v>145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 t="s">
        <v>201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19">
        <f>IFERROR(INDEX(#REF!,MATCH($D206,#REF!,"")),"")</f>
      </c>
      <c r="AL206" s="19">
        <f>IFERROR(INDEX(#REF!,MATCH($D206,#REF!,"")),"")</f>
      </c>
      <c r="AM206" s="19">
        <f>IFERROR(INDEX(#REF!,MATCH($D206,#REF!,"")),"")</f>
      </c>
      <c r="AN206" s="19">
        <f>IFERROR(INDEX(#REF!,MATCH($D206,#REF!,0)),"")</f>
      </c>
    </row>
    <row x14ac:dyDescent="0.25" r="207" customHeight="1" ht="18.75">
      <c r="A207" s="7">
        <v>101240927</v>
      </c>
      <c r="B207" s="8">
        <v>45911</v>
      </c>
      <c r="C207" s="9">
        <v>5.583333333333333</v>
      </c>
      <c r="D207" s="7">
        <v>117217</v>
      </c>
      <c r="E207" s="10">
        <v>237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19">
        <f>IFERROR(INDEX(#REF!,MATCH($D207,#REF!,"")),"")</f>
      </c>
      <c r="AL207" s="19">
        <f>IFERROR(INDEX(#REF!,MATCH($D207,#REF!,"")),"")</f>
      </c>
      <c r="AM207" s="19">
        <f>IFERROR(INDEX(#REF!,MATCH($D207,#REF!,"")),"")</f>
      </c>
      <c r="AN207" s="19">
        <f>IFERROR(INDEX(#REF!,MATCH($D207,#REF!,0)),"")</f>
      </c>
    </row>
    <row x14ac:dyDescent="0.25" r="208" customHeight="1" ht="18.75">
      <c r="A208" s="7">
        <v>101239520</v>
      </c>
      <c r="B208" s="8">
        <v>45911</v>
      </c>
      <c r="C208" s="9">
        <v>5.680555555555555</v>
      </c>
      <c r="D208" s="7">
        <v>102472</v>
      </c>
      <c r="E208" s="10">
        <v>29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19">
        <f>IFERROR(INDEX(#REF!,MATCH($D208,#REF!,"")),"")</f>
      </c>
      <c r="AL208" s="19">
        <f>IFERROR(INDEX(#REF!,MATCH($D208,#REF!,"")),"")</f>
      </c>
      <c r="AM208" s="19">
        <f>IFERROR(INDEX(#REF!,MATCH($D208,#REF!,"")),"")</f>
      </c>
      <c r="AN208" s="19">
        <f>IFERROR(INDEX(#REF!,MATCH($D208,#REF!,0)),"")</f>
      </c>
    </row>
    <row x14ac:dyDescent="0.25" r="209" customHeight="1" ht="18.75">
      <c r="A209" s="7">
        <v>101241126</v>
      </c>
      <c r="B209" s="8">
        <v>45912</v>
      </c>
      <c r="C209" s="9">
        <v>5.361111111111111</v>
      </c>
      <c r="D209" s="7">
        <v>102311</v>
      </c>
      <c r="E209" s="10">
        <v>418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9">
        <f>IFERROR(INDEX(#REF!,MATCH($D209,#REF!,"")),"")</f>
      </c>
      <c r="AL209" s="19">
        <f>IFERROR(INDEX(#REF!,MATCH($D209,#REF!,"")),"")</f>
      </c>
      <c r="AM209" s="19">
        <f>IFERROR(INDEX(#REF!,MATCH($D209,#REF!,"")),"")</f>
      </c>
      <c r="AN209" s="19">
        <f>IFERROR(INDEX(#REF!,MATCH($D209,#REF!,0)),"")</f>
      </c>
    </row>
    <row x14ac:dyDescent="0.25" r="210" customHeight="1" ht="18.75">
      <c r="A210" s="7">
        <v>101241127</v>
      </c>
      <c r="B210" s="8">
        <v>45912</v>
      </c>
      <c r="C210" s="9">
        <v>5.375</v>
      </c>
      <c r="D210" s="7">
        <v>102243</v>
      </c>
      <c r="E210" s="10">
        <v>97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19">
        <f>IFERROR(INDEX(#REF!,MATCH($D210,#REF!,"")),"")</f>
      </c>
      <c r="AL210" s="19">
        <f>IFERROR(INDEX(#REF!,MATCH($D210,#REF!,"")),"")</f>
      </c>
      <c r="AM210" s="19">
        <f>IFERROR(INDEX(#REF!,MATCH($D210,#REF!,"")),"")</f>
      </c>
      <c r="AN210" s="19">
        <f>IFERROR(INDEX(#REF!,MATCH($D210,#REF!,0)),"")</f>
      </c>
    </row>
    <row x14ac:dyDescent="0.25" r="211" customHeight="1" ht="18.75">
      <c r="A211" s="7">
        <v>101241129</v>
      </c>
      <c r="B211" s="8">
        <v>45912</v>
      </c>
      <c r="C211" s="9">
        <v>5.388888888888889</v>
      </c>
      <c r="D211" s="7">
        <v>102557</v>
      </c>
      <c r="E211" s="10">
        <v>205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19">
        <f>IFERROR(INDEX(#REF!,MATCH($D211,#REF!,"")),"")</f>
      </c>
      <c r="AL211" s="19">
        <f>IFERROR(INDEX(#REF!,MATCH($D211,#REF!,"")),"")</f>
      </c>
      <c r="AM211" s="19">
        <f>IFERROR(INDEX(#REF!,MATCH($D211,#REF!,"")),"")</f>
      </c>
      <c r="AN211" s="19">
        <f>IFERROR(INDEX(#REF!,MATCH($D211,#REF!,0)),"")</f>
      </c>
    </row>
    <row x14ac:dyDescent="0.25" r="212" customHeight="1" ht="18.75">
      <c r="A212" s="7">
        <v>101241131</v>
      </c>
      <c r="B212" s="8">
        <v>45912</v>
      </c>
      <c r="C212" s="9">
        <v>5.402777777777778</v>
      </c>
      <c r="D212" s="7">
        <v>102712</v>
      </c>
      <c r="E212" s="10">
        <v>44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19">
        <f>IFERROR(INDEX(#REF!,MATCH($D212,#REF!,"")),"")</f>
      </c>
      <c r="AL212" s="19">
        <f>IFERROR(INDEX(#REF!,MATCH($D212,#REF!,"")),"")</f>
      </c>
      <c r="AM212" s="19">
        <f>IFERROR(INDEX(#REF!,MATCH($D212,#REF!,"")),"")</f>
      </c>
      <c r="AN212" s="19">
        <f>IFERROR(INDEX(#REF!,MATCH($D212,#REF!,0)),"")</f>
      </c>
    </row>
    <row x14ac:dyDescent="0.25" r="213" customHeight="1" ht="18.75">
      <c r="A213" s="7">
        <v>101241133</v>
      </c>
      <c r="B213" s="8">
        <v>45912</v>
      </c>
      <c r="C213" s="9">
        <v>5.416666666666667</v>
      </c>
      <c r="D213" s="7">
        <v>120292</v>
      </c>
      <c r="E213" s="10">
        <v>84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19">
        <f>IFERROR(INDEX(#REF!,MATCH($D213,#REF!,"")),"")</f>
      </c>
      <c r="AL213" s="19">
        <f>IFERROR(INDEX(#REF!,MATCH($D213,#REF!,"")),"")</f>
      </c>
      <c r="AM213" s="19">
        <f>IFERROR(INDEX(#REF!,MATCH($D213,#REF!,"")),"")</f>
      </c>
      <c r="AN213" s="19">
        <f>IFERROR(INDEX(#REF!,MATCH($D213,#REF!,0)),"")</f>
      </c>
    </row>
    <row x14ac:dyDescent="0.25" r="214" customHeight="1" ht="18.75">
      <c r="A214" s="7">
        <v>101241143</v>
      </c>
      <c r="B214" s="8">
        <v>45912</v>
      </c>
      <c r="C214" s="9">
        <v>5.416666666666667</v>
      </c>
      <c r="D214" s="7">
        <v>120303</v>
      </c>
      <c r="E214" s="10">
        <v>46</v>
      </c>
      <c r="F214" s="6" t="s">
        <v>8</v>
      </c>
      <c r="G214" s="6" t="s">
        <v>8</v>
      </c>
      <c r="H214" s="6" t="s">
        <v>176</v>
      </c>
      <c r="I214" s="6" t="s">
        <v>177</v>
      </c>
      <c r="J214" s="6" t="s">
        <v>178</v>
      </c>
      <c r="K214" s="6" t="s">
        <v>179</v>
      </c>
      <c r="L214" s="6" t="s">
        <v>203</v>
      </c>
      <c r="M214" s="6" t="s">
        <v>204</v>
      </c>
      <c r="N214" s="6" t="s">
        <v>189</v>
      </c>
      <c r="O214" s="6" t="s">
        <v>190</v>
      </c>
      <c r="P214" s="6" t="s">
        <v>191</v>
      </c>
      <c r="Q214" s="6" t="s">
        <v>192</v>
      </c>
      <c r="R214" s="6" t="s">
        <v>193</v>
      </c>
      <c r="S214" s="6" t="s">
        <v>194</v>
      </c>
      <c r="T214" s="6" t="s">
        <v>195</v>
      </c>
      <c r="U214" s="6" t="s">
        <v>206</v>
      </c>
      <c r="V214" s="6" t="s">
        <v>133</v>
      </c>
      <c r="W214" s="6" t="s">
        <v>169</v>
      </c>
      <c r="X214" s="6" t="s">
        <v>170</v>
      </c>
      <c r="Y214" s="6" t="s">
        <v>171</v>
      </c>
      <c r="Z214" s="6" t="s">
        <v>145</v>
      </c>
      <c r="AA214" s="6" t="s">
        <v>207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19">
        <f>IFERROR(INDEX(#REF!,MATCH($D214,#REF!,"")),"")</f>
      </c>
      <c r="AL214" s="19">
        <f>IFERROR(INDEX(#REF!,MATCH($D214,#REF!,"")),"")</f>
      </c>
      <c r="AM214" s="19">
        <f>IFERROR(INDEX(#REF!,MATCH($D214,#REF!,"")),"")</f>
      </c>
      <c r="AN214" s="19">
        <f>IFERROR(INDEX(#REF!,MATCH($D214,#REF!,0)),"")</f>
      </c>
    </row>
    <row x14ac:dyDescent="0.25" r="215" customHeight="1" ht="18.75">
      <c r="A215" s="7">
        <v>101241139</v>
      </c>
      <c r="B215" s="8">
        <v>45912</v>
      </c>
      <c r="C215" s="9">
        <v>5.451388888888889</v>
      </c>
      <c r="D215" s="7">
        <v>102358</v>
      </c>
      <c r="E215" s="10">
        <v>54</v>
      </c>
      <c r="F215" s="6" t="s">
        <v>8</v>
      </c>
      <c r="G215" s="6" t="s">
        <v>8</v>
      </c>
      <c r="H215" s="6" t="s">
        <v>163</v>
      </c>
      <c r="I215" s="6" t="s">
        <v>169</v>
      </c>
      <c r="J215" s="6" t="s">
        <v>170</v>
      </c>
      <c r="K215" s="6" t="s">
        <v>175</v>
      </c>
      <c r="L215" s="6" t="s">
        <v>171</v>
      </c>
      <c r="M215" s="6" t="s">
        <v>145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 t="s">
        <v>12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19">
        <f>IFERROR(INDEX(#REF!,MATCH($D215,#REF!,"")),"")</f>
      </c>
      <c r="AL215" s="19">
        <f>IFERROR(INDEX(#REF!,MATCH($D215,#REF!,"")),"")</f>
      </c>
      <c r="AM215" s="19">
        <f>IFERROR(INDEX(#REF!,MATCH($D215,#REF!,"")),"")</f>
      </c>
      <c r="AN215" s="19">
        <f>IFERROR(INDEX(#REF!,MATCH($D215,#REF!,0)),"")</f>
      </c>
    </row>
    <row x14ac:dyDescent="0.25" r="216" customHeight="1" ht="18.75">
      <c r="A216" s="7">
        <v>101241140</v>
      </c>
      <c r="B216" s="8">
        <v>45912</v>
      </c>
      <c r="C216" s="9">
        <v>5.458333333333333</v>
      </c>
      <c r="D216" s="7">
        <v>102436</v>
      </c>
      <c r="E216" s="10">
        <v>61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19">
        <f>IFERROR(INDEX(#REF!,MATCH($D216,#REF!,"")),"")</f>
      </c>
      <c r="AL216" s="19">
        <f>IFERROR(INDEX(#REF!,MATCH($D216,#REF!,"")),"")</f>
      </c>
      <c r="AM216" s="19">
        <f>IFERROR(INDEX(#REF!,MATCH($D216,#REF!,"")),"")</f>
      </c>
      <c r="AN216" s="19">
        <f>IFERROR(INDEX(#REF!,MATCH($D216,#REF!,0)),"")</f>
      </c>
    </row>
    <row x14ac:dyDescent="0.25" r="217" customHeight="1" ht="18.75">
      <c r="A217" s="7">
        <v>101241141</v>
      </c>
      <c r="B217" s="8">
        <v>45912</v>
      </c>
      <c r="C217" s="9">
        <v>5.465277777777778</v>
      </c>
      <c r="D217" s="7">
        <v>116807</v>
      </c>
      <c r="E217" s="10">
        <v>175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19">
        <f>IFERROR(INDEX(#REF!,MATCH($D217,#REF!,"")),"")</f>
      </c>
      <c r="AL217" s="19">
        <f>IFERROR(INDEX(#REF!,MATCH($D217,#REF!,"")),"")</f>
      </c>
      <c r="AM217" s="19">
        <f>IFERROR(INDEX(#REF!,MATCH($D217,#REF!,"")),"")</f>
      </c>
      <c r="AN217" s="19">
        <f>IFERROR(INDEX(#REF!,MATCH($D217,#REF!,0)),"")</f>
      </c>
    </row>
    <row x14ac:dyDescent="0.25" r="218" customHeight="1" ht="18.75">
      <c r="A218" s="7">
        <v>101241142</v>
      </c>
      <c r="B218" s="8">
        <v>45912</v>
      </c>
      <c r="C218" s="9">
        <v>5.472222222222222</v>
      </c>
      <c r="D218" s="7">
        <v>120297</v>
      </c>
      <c r="E218" s="10">
        <v>93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19">
        <f>IFERROR(INDEX(#REF!,MATCH($D218,#REF!,"")),"")</f>
      </c>
      <c r="AL218" s="19">
        <f>IFERROR(INDEX(#REF!,MATCH($D218,#REF!,"")),"")</f>
      </c>
      <c r="AM218" s="19">
        <f>IFERROR(INDEX(#REF!,MATCH($D218,#REF!,"")),"")</f>
      </c>
      <c r="AN218" s="19">
        <f>IFERROR(INDEX(#REF!,MATCH($D218,#REF!,0)),"")</f>
      </c>
    </row>
    <row x14ac:dyDescent="0.25" r="219" customHeight="1" ht="18.75">
      <c r="A219" s="7">
        <v>101238771</v>
      </c>
      <c r="B219" s="8">
        <v>45912</v>
      </c>
      <c r="C219" s="9">
        <v>5.5</v>
      </c>
      <c r="D219" s="7">
        <v>102676</v>
      </c>
      <c r="E219" s="10">
        <v>275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19">
        <f>IFERROR(INDEX(#REF!,MATCH($D219,#REF!,"")),"")</f>
      </c>
      <c r="AL219" s="19">
        <f>IFERROR(INDEX(#REF!,MATCH($D219,#REF!,"")),"")</f>
      </c>
      <c r="AM219" s="19">
        <f>IFERROR(INDEX(#REF!,MATCH($D219,#REF!,"")),"")</f>
      </c>
      <c r="AN219" s="19">
        <f>IFERROR(INDEX(#REF!,MATCH($D219,#REF!,0)),"")</f>
      </c>
    </row>
    <row x14ac:dyDescent="0.25" r="220" customHeight="1" ht="18.75">
      <c r="A220" s="7">
        <v>101241130</v>
      </c>
      <c r="B220" s="8">
        <v>45912</v>
      </c>
      <c r="C220" s="9">
        <v>5.395833333333333</v>
      </c>
      <c r="D220" s="7">
        <v>102570</v>
      </c>
      <c r="E220" s="10">
        <v>182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19">
        <f>IFERROR(INDEX(#REF!,MATCH($D220,#REF!,"")),"")</f>
      </c>
      <c r="AL220" s="19">
        <f>IFERROR(INDEX(#REF!,MATCH($D220,#REF!,"")),"")</f>
      </c>
      <c r="AM220" s="19">
        <f>IFERROR(INDEX(#REF!,MATCH($D220,#REF!,"")),"")</f>
      </c>
      <c r="AN220" s="19">
        <f>IFERROR(INDEX(#REF!,MATCH($D220,#REF!,0)),"")</f>
      </c>
    </row>
    <row x14ac:dyDescent="0.25" r="221" customHeight="1" ht="18.75">
      <c r="A221" s="7">
        <v>101241135</v>
      </c>
      <c r="B221" s="8">
        <v>45912</v>
      </c>
      <c r="C221" s="9">
        <v>5.430555555555555</v>
      </c>
      <c r="D221" s="7">
        <v>122854</v>
      </c>
      <c r="E221" s="10">
        <v>395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19">
        <f>IFERROR(INDEX(#REF!,MATCH($D221,#REF!,"")),"")</f>
      </c>
      <c r="AL221" s="19">
        <f>IFERROR(INDEX(#REF!,MATCH($D221,#REF!,"")),"")</f>
      </c>
      <c r="AM221" s="19">
        <f>IFERROR(INDEX(#REF!,MATCH($D221,#REF!,"")),"")</f>
      </c>
      <c r="AN221" s="19">
        <f>IFERROR(INDEX(#REF!,MATCH($D221,#REF!,0)),"")</f>
      </c>
    </row>
    <row x14ac:dyDescent="0.25" r="222" customHeight="1" ht="18.75">
      <c r="A222" s="7"/>
      <c r="B222" s="8"/>
      <c r="C222" s="9"/>
      <c r="D222" s="7"/>
      <c r="E222" s="1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19">
        <f>IFERROR(INDEX(#REF!,MATCH($D222,#REF!,"")),"")</f>
      </c>
      <c r="AL222" s="19">
        <f>IFERROR(INDEX(#REF!,MATCH($D222,#REF!,"")),"")</f>
      </c>
      <c r="AM222" s="19">
        <f>IFERROR(INDEX(#REF!,MATCH($D222,#REF!,"")),"")</f>
      </c>
      <c r="AN222" s="19">
        <f>IFERROR(INDEX(#REF!,MATCH($D222,#REF!,0)),"")</f>
      </c>
    </row>
    <row x14ac:dyDescent="0.25" r="223" customHeight="1" ht="18.75">
      <c r="A223" s="7">
        <v>101241312</v>
      </c>
      <c r="B223" s="8">
        <v>45915</v>
      </c>
      <c r="C223" s="9">
        <v>5.381944444444445</v>
      </c>
      <c r="D223" s="7">
        <v>109864</v>
      </c>
      <c r="E223" s="10">
        <v>551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19">
        <f>IFERROR(INDEX(#REF!,MATCH($D223,#REF!,"")),"")</f>
      </c>
      <c r="AL223" s="19">
        <f>IFERROR(INDEX(#REF!,MATCH($D223,#REF!,"")),"")</f>
      </c>
      <c r="AM223" s="19">
        <f>IFERROR(INDEX(#REF!,MATCH($D223,#REF!,"")),"")</f>
      </c>
      <c r="AN223" s="19">
        <f>IFERROR(INDEX(#REF!,MATCH($D223,#REF!,0)),"")</f>
      </c>
    </row>
    <row x14ac:dyDescent="0.25" r="224" customHeight="1" ht="18.75">
      <c r="A224" s="7">
        <v>101241313</v>
      </c>
      <c r="B224" s="8">
        <v>45915</v>
      </c>
      <c r="C224" s="9">
        <v>5.388888888888889</v>
      </c>
      <c r="D224" s="7">
        <v>102234</v>
      </c>
      <c r="E224" s="10">
        <v>443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19">
        <f>IFERROR(INDEX(#REF!,MATCH($D224,#REF!,"")),"")</f>
      </c>
      <c r="AL224" s="19">
        <f>IFERROR(INDEX(#REF!,MATCH($D224,#REF!,"")),"")</f>
      </c>
      <c r="AM224" s="19">
        <f>IFERROR(INDEX(#REF!,MATCH($D224,#REF!,"")),"")</f>
      </c>
      <c r="AN224" s="19">
        <f>IFERROR(INDEX(#REF!,MATCH($D224,#REF!,0)),"")</f>
      </c>
    </row>
    <row x14ac:dyDescent="0.25" r="225" customHeight="1" ht="18.75">
      <c r="A225" s="7">
        <v>101241315</v>
      </c>
      <c r="B225" s="8">
        <v>45915</v>
      </c>
      <c r="C225" s="9">
        <v>5.402777777777778</v>
      </c>
      <c r="D225" s="7">
        <v>102672</v>
      </c>
      <c r="E225" s="10">
        <v>43</v>
      </c>
      <c r="F225" s="6" t="s">
        <v>8</v>
      </c>
      <c r="G225" s="6"/>
      <c r="H225" s="6" t="s">
        <v>163</v>
      </c>
      <c r="I225" s="6" t="s">
        <v>169</v>
      </c>
      <c r="J225" s="6" t="s">
        <v>170</v>
      </c>
      <c r="K225" s="6" t="s">
        <v>175</v>
      </c>
      <c r="L225" s="6" t="s">
        <v>171</v>
      </c>
      <c r="M225" s="6" t="s">
        <v>145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 t="s">
        <v>12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19">
        <f>IFERROR(INDEX(#REF!,MATCH($D225,#REF!,"")),"")</f>
      </c>
      <c r="AL225" s="19">
        <f>IFERROR(INDEX(#REF!,MATCH($D225,#REF!,"")),"")</f>
      </c>
      <c r="AM225" s="19">
        <f>IFERROR(INDEX(#REF!,MATCH($D225,#REF!,"")),"")</f>
      </c>
      <c r="AN225" s="19">
        <f>IFERROR(INDEX(#REF!,MATCH($D225,#REF!,0)),"")</f>
      </c>
    </row>
    <row x14ac:dyDescent="0.25" r="226" customHeight="1" ht="18.75">
      <c r="A226" s="7">
        <v>101241316</v>
      </c>
      <c r="B226" s="8">
        <v>45915</v>
      </c>
      <c r="C226" s="9">
        <v>5.409722222222222</v>
      </c>
      <c r="D226" s="7">
        <v>116933</v>
      </c>
      <c r="E226" s="10">
        <v>146</v>
      </c>
      <c r="F226" s="6" t="s">
        <v>8</v>
      </c>
      <c r="G226" s="6" t="s">
        <v>8</v>
      </c>
      <c r="H226" s="6" t="s">
        <v>176</v>
      </c>
      <c r="I226" s="6" t="s">
        <v>177</v>
      </c>
      <c r="J226" s="6" t="s">
        <v>178</v>
      </c>
      <c r="K226" s="6" t="s">
        <v>179</v>
      </c>
      <c r="L226" s="6" t="s">
        <v>163</v>
      </c>
      <c r="M226" s="6" t="s">
        <v>169</v>
      </c>
      <c r="N226" s="6" t="s">
        <v>170</v>
      </c>
      <c r="O226" s="6" t="s">
        <v>171</v>
      </c>
      <c r="P226" s="6" t="s">
        <v>145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 t="s">
        <v>208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19">
        <f>IFERROR(INDEX(#REF!,MATCH($D226,#REF!,"")),"")</f>
      </c>
      <c r="AL226" s="19">
        <f>IFERROR(INDEX(#REF!,MATCH($D226,#REF!,"")),"")</f>
      </c>
      <c r="AM226" s="19">
        <f>IFERROR(INDEX(#REF!,MATCH($D226,#REF!,"")),"")</f>
      </c>
      <c r="AN226" s="19">
        <f>IFERROR(INDEX(#REF!,MATCH($D226,#REF!,0)),"")</f>
      </c>
    </row>
    <row x14ac:dyDescent="0.25" r="227" customHeight="1" ht="18.75">
      <c r="A227" s="7">
        <v>101241327</v>
      </c>
      <c r="B227" s="8">
        <v>45915</v>
      </c>
      <c r="C227" s="9">
        <v>5.416666666666667</v>
      </c>
      <c r="D227" s="7">
        <v>102415</v>
      </c>
      <c r="E227" s="10">
        <v>131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19">
        <f>IFERROR(INDEX(#REF!,MATCH($D227,#REF!,"")),"")</f>
      </c>
      <c r="AL227" s="19">
        <f>IFERROR(INDEX(#REF!,MATCH($D227,#REF!,"")),"")</f>
      </c>
      <c r="AM227" s="19">
        <f>IFERROR(INDEX(#REF!,MATCH($D227,#REF!,"")),"")</f>
      </c>
      <c r="AN227" s="19">
        <f>IFERROR(INDEX(#REF!,MATCH($D227,#REF!,0)),"")</f>
      </c>
    </row>
    <row x14ac:dyDescent="0.25" r="228" customHeight="1" ht="18.75">
      <c r="A228" s="7">
        <v>101241318</v>
      </c>
      <c r="B228" s="8">
        <v>45915</v>
      </c>
      <c r="C228" s="9">
        <v>5.423611111111111</v>
      </c>
      <c r="D228" s="7">
        <v>120306</v>
      </c>
      <c r="E228" s="10">
        <v>195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19">
        <f>IFERROR(INDEX(#REF!,MATCH($D228,#REF!,"")),"")</f>
      </c>
      <c r="AL228" s="19">
        <f>IFERROR(INDEX(#REF!,MATCH($D228,#REF!,"")),"")</f>
      </c>
      <c r="AM228" s="19">
        <f>IFERROR(INDEX(#REF!,MATCH($D228,#REF!,"")),"")</f>
      </c>
      <c r="AN228" s="19">
        <f>IFERROR(INDEX(#REF!,MATCH($D228,#REF!,0)),"")</f>
      </c>
    </row>
    <row x14ac:dyDescent="0.25" r="229" customHeight="1" ht="18.75">
      <c r="A229" s="7">
        <v>101241326</v>
      </c>
      <c r="B229" s="8">
        <v>45915</v>
      </c>
      <c r="C229" s="9">
        <v>5.479166666666667</v>
      </c>
      <c r="D229" s="7">
        <v>122440</v>
      </c>
      <c r="E229" s="10">
        <v>199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19">
        <f>IFERROR(INDEX(#REF!,MATCH($D229,#REF!,"")),"")</f>
      </c>
      <c r="AL229" s="19">
        <f>IFERROR(INDEX(#REF!,MATCH($D229,#REF!,"")),"")</f>
      </c>
      <c r="AM229" s="19">
        <f>IFERROR(INDEX(#REF!,MATCH($D229,#REF!,"")),"")</f>
      </c>
      <c r="AN229" s="19">
        <f>IFERROR(INDEX(#REF!,MATCH($D229,#REF!,0)),"")</f>
      </c>
    </row>
    <row x14ac:dyDescent="0.25" r="230" customHeight="1" ht="18.75">
      <c r="A230" s="11">
        <v>111111111</v>
      </c>
      <c r="B230" s="8">
        <v>45915</v>
      </c>
      <c r="C230" s="9">
        <v>5.375</v>
      </c>
      <c r="D230" s="11">
        <v>118689</v>
      </c>
      <c r="E230" s="10">
        <v>909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</row>
    <row x14ac:dyDescent="0.25" r="231" customHeight="1" ht="18.75">
      <c r="A231" s="7">
        <v>101258587</v>
      </c>
      <c r="B231" s="8">
        <v>45916</v>
      </c>
      <c r="C231" s="9">
        <v>5.020833333333333</v>
      </c>
      <c r="D231" s="7">
        <v>102383</v>
      </c>
      <c r="E231" s="10">
        <v>103</v>
      </c>
      <c r="F231" s="6" t="s">
        <v>8</v>
      </c>
      <c r="G231" s="6"/>
      <c r="H231" s="6" t="s">
        <v>18</v>
      </c>
      <c r="I231" s="6" t="s">
        <v>163</v>
      </c>
      <c r="J231" s="6" t="s">
        <v>169</v>
      </c>
      <c r="K231" s="6" t="s">
        <v>170</v>
      </c>
      <c r="L231" s="6" t="s">
        <v>175</v>
      </c>
      <c r="M231" s="6" t="s">
        <v>171</v>
      </c>
      <c r="N231" s="6" t="s">
        <v>145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 t="s">
        <v>201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19">
        <f>IFERROR(INDEX(#REF!,MATCH($D231,#REF!,"")),"")</f>
      </c>
      <c r="AL231" s="19">
        <f>IFERROR(INDEX(#REF!,MATCH($D231,#REF!,"")),"")</f>
      </c>
      <c r="AM231" s="19">
        <f>IFERROR(INDEX(#REF!,MATCH($D231,#REF!,"")),"")</f>
      </c>
      <c r="AN231" s="19">
        <f>IFERROR(INDEX(#REF!,MATCH($D231,#REF!,0)),"")</f>
      </c>
    </row>
    <row x14ac:dyDescent="0.25" r="232" customHeight="1" ht="18.75">
      <c r="A232" s="7">
        <v>101258591</v>
      </c>
      <c r="B232" s="8">
        <v>45916</v>
      </c>
      <c r="C232" s="9">
        <v>5.020833333333333</v>
      </c>
      <c r="D232" s="7">
        <v>102473</v>
      </c>
      <c r="E232" s="10">
        <v>46</v>
      </c>
      <c r="F232" s="6"/>
      <c r="G232" s="6" t="s">
        <v>8</v>
      </c>
      <c r="H232" s="6" t="s">
        <v>176</v>
      </c>
      <c r="I232" s="6" t="s">
        <v>177</v>
      </c>
      <c r="J232" s="6" t="s">
        <v>178</v>
      </c>
      <c r="K232" s="6" t="s">
        <v>179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 t="s">
        <v>180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19">
        <f>IFERROR(INDEX(#REF!,MATCH($D232,#REF!,"")),"")</f>
      </c>
      <c r="AL232" s="19">
        <f>IFERROR(INDEX(#REF!,MATCH($D232,#REF!,"")),"")</f>
      </c>
      <c r="AM232" s="19">
        <f>IFERROR(INDEX(#REF!,MATCH($D232,#REF!,"")),"")</f>
      </c>
      <c r="AN232" s="19">
        <f>IFERROR(INDEX(#REF!,MATCH($D232,#REF!,0)),"")</f>
      </c>
    </row>
    <row x14ac:dyDescent="0.25" r="233" customHeight="1" ht="18.75">
      <c r="A233" s="7">
        <v>101258594</v>
      </c>
      <c r="B233" s="8">
        <v>45916</v>
      </c>
      <c r="C233" s="9">
        <v>5.020833333333333</v>
      </c>
      <c r="D233" s="7">
        <v>102481</v>
      </c>
      <c r="E233" s="10">
        <v>143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19">
        <f>IFERROR(INDEX(#REF!,MATCH($D233,#REF!,"")),"")</f>
      </c>
      <c r="AL233" s="19">
        <f>IFERROR(INDEX(#REF!,MATCH($D233,#REF!,"")),"")</f>
      </c>
      <c r="AM233" s="19">
        <f>IFERROR(INDEX(#REF!,MATCH($D233,#REF!,"")),"")</f>
      </c>
      <c r="AN233" s="19">
        <f>IFERROR(INDEX(#REF!,MATCH($D233,#REF!,0)),"")</f>
      </c>
    </row>
    <row x14ac:dyDescent="0.25" r="234" customHeight="1" ht="18.75">
      <c r="A234" s="7">
        <v>101258598</v>
      </c>
      <c r="B234" s="8">
        <v>45916</v>
      </c>
      <c r="C234" s="9">
        <v>5.020833333333333</v>
      </c>
      <c r="D234" s="7">
        <v>102653</v>
      </c>
      <c r="E234" s="10">
        <v>86</v>
      </c>
      <c r="F234" s="6"/>
      <c r="G234" s="6"/>
      <c r="H234" s="6" t="s">
        <v>18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 t="s">
        <v>18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19">
        <f>IFERROR(INDEX(#REF!,MATCH($D234,#REF!,"")),"")</f>
      </c>
      <c r="AL234" s="19">
        <f>IFERROR(INDEX(#REF!,MATCH($D234,#REF!,"")),"")</f>
      </c>
      <c r="AM234" s="19">
        <f>IFERROR(INDEX(#REF!,MATCH($D234,#REF!,"")),"")</f>
      </c>
      <c r="AN234" s="19">
        <f>IFERROR(INDEX(#REF!,MATCH($D234,#REF!,0)),"")</f>
      </c>
    </row>
    <row x14ac:dyDescent="0.25" r="235" customHeight="1" ht="18.75">
      <c r="A235" s="7">
        <v>101258600</v>
      </c>
      <c r="B235" s="8">
        <v>45916</v>
      </c>
      <c r="C235" s="9">
        <v>5.020833333333333</v>
      </c>
      <c r="D235" s="7">
        <v>102657</v>
      </c>
      <c r="E235" s="10">
        <v>79</v>
      </c>
      <c r="F235" s="6"/>
      <c r="G235" s="6"/>
      <c r="H235" s="6" t="s">
        <v>18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 t="s">
        <v>18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19">
        <f>IFERROR(INDEX(#REF!,MATCH($D235,#REF!,"")),"")</f>
      </c>
      <c r="AL235" s="19">
        <f>IFERROR(INDEX(#REF!,MATCH($D235,#REF!,"")),"")</f>
      </c>
      <c r="AM235" s="19">
        <f>IFERROR(INDEX(#REF!,MATCH($D235,#REF!,"")),"")</f>
      </c>
      <c r="AN235" s="19">
        <f>IFERROR(INDEX(#REF!,MATCH($D235,#REF!,0)),"")</f>
      </c>
    </row>
    <row x14ac:dyDescent="0.25" r="236" customHeight="1" ht="18.75">
      <c r="A236" s="7">
        <v>101258604</v>
      </c>
      <c r="B236" s="8">
        <v>45916</v>
      </c>
      <c r="C236" s="9">
        <v>5.020833333333333</v>
      </c>
      <c r="D236" s="7">
        <v>102658</v>
      </c>
      <c r="E236" s="10">
        <v>82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19">
        <f>IFERROR(INDEX(#REF!,MATCH($D236,#REF!,"")),"")</f>
      </c>
      <c r="AL236" s="19">
        <f>IFERROR(INDEX(#REF!,MATCH($D236,#REF!,"")),"")</f>
      </c>
      <c r="AM236" s="19">
        <f>IFERROR(INDEX(#REF!,MATCH($D236,#REF!,"")),"")</f>
      </c>
      <c r="AN236" s="19">
        <f>IFERROR(INDEX(#REF!,MATCH($D236,#REF!,0)),"")</f>
      </c>
    </row>
    <row x14ac:dyDescent="0.25" r="237" customHeight="1" ht="18.75">
      <c r="A237" s="7">
        <v>101258607</v>
      </c>
      <c r="B237" s="8">
        <v>45916</v>
      </c>
      <c r="C237" s="9">
        <v>5.020833333333333</v>
      </c>
      <c r="D237" s="7">
        <v>102659</v>
      </c>
      <c r="E237" s="10">
        <v>50</v>
      </c>
      <c r="F237" s="6" t="s">
        <v>8</v>
      </c>
      <c r="G237" s="6"/>
      <c r="H237" s="6" t="s">
        <v>18</v>
      </c>
      <c r="I237" s="6" t="s">
        <v>163</v>
      </c>
      <c r="J237" s="6" t="s">
        <v>169</v>
      </c>
      <c r="K237" s="6" t="s">
        <v>170</v>
      </c>
      <c r="L237" s="6" t="s">
        <v>175</v>
      </c>
      <c r="M237" s="6" t="s">
        <v>171</v>
      </c>
      <c r="N237" s="6" t="s">
        <v>145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 t="s">
        <v>201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19">
        <f>IFERROR(INDEX(#REF!,MATCH($D237,#REF!,"")),"")</f>
      </c>
      <c r="AL237" s="19">
        <f>IFERROR(INDEX(#REF!,MATCH($D237,#REF!,"")),"")</f>
      </c>
      <c r="AM237" s="19">
        <f>IFERROR(INDEX(#REF!,MATCH($D237,#REF!,"")),"")</f>
      </c>
      <c r="AN237" s="19">
        <f>IFERROR(INDEX(#REF!,MATCH($D237,#REF!,0)),"")</f>
      </c>
    </row>
    <row x14ac:dyDescent="0.25" r="238" customHeight="1" ht="18.75">
      <c r="A238" s="7">
        <v>101258609</v>
      </c>
      <c r="B238" s="8">
        <v>45916</v>
      </c>
      <c r="C238" s="9">
        <v>5.020833333333333</v>
      </c>
      <c r="D238" s="7">
        <v>102662</v>
      </c>
      <c r="E238" s="10">
        <v>121</v>
      </c>
      <c r="F238" s="6"/>
      <c r="G238" s="6"/>
      <c r="H238" s="6" t="s">
        <v>18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 t="s">
        <v>18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19">
        <f>IFERROR(INDEX(#REF!,MATCH($D238,#REF!,"")),"")</f>
      </c>
      <c r="AL238" s="19">
        <f>IFERROR(INDEX(#REF!,MATCH($D238,#REF!,"")),"")</f>
      </c>
      <c r="AM238" s="19">
        <f>IFERROR(INDEX(#REF!,MATCH($D238,#REF!,"")),"")</f>
      </c>
      <c r="AN238" s="19">
        <f>IFERROR(INDEX(#REF!,MATCH($D238,#REF!,0)),"")</f>
      </c>
    </row>
    <row x14ac:dyDescent="0.25" r="239" customHeight="1" ht="18.75">
      <c r="A239" s="7">
        <v>101258611</v>
      </c>
      <c r="B239" s="8">
        <v>45916</v>
      </c>
      <c r="C239" s="9">
        <v>5.020833333333333</v>
      </c>
      <c r="D239" s="7">
        <v>102663</v>
      </c>
      <c r="E239" s="10">
        <v>193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19">
        <f>IFERROR(INDEX(#REF!,MATCH($D239,#REF!,"")),"")</f>
      </c>
      <c r="AL239" s="19">
        <f>IFERROR(INDEX(#REF!,MATCH($D239,#REF!,"")),"")</f>
      </c>
      <c r="AM239" s="19">
        <f>IFERROR(INDEX(#REF!,MATCH($D239,#REF!,"")),"")</f>
      </c>
      <c r="AN239" s="19">
        <f>IFERROR(INDEX(#REF!,MATCH($D239,#REF!,0)),"")</f>
      </c>
    </row>
    <row x14ac:dyDescent="0.25" r="240" customHeight="1" ht="18.75">
      <c r="A240" s="7">
        <v>101258613</v>
      </c>
      <c r="B240" s="8">
        <v>45916</v>
      </c>
      <c r="C240" s="9">
        <v>5.020833333333333</v>
      </c>
      <c r="D240" s="7">
        <v>102665</v>
      </c>
      <c r="E240" s="10">
        <v>115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19">
        <f>IFERROR(INDEX(#REF!,MATCH($D240,#REF!,"")),"")</f>
      </c>
      <c r="AL240" s="19">
        <f>IFERROR(INDEX(#REF!,MATCH($D240,#REF!,"")),"")</f>
      </c>
      <c r="AM240" s="19">
        <f>IFERROR(INDEX(#REF!,MATCH($D240,#REF!,"")),"")</f>
      </c>
      <c r="AN240" s="19">
        <f>IFERROR(INDEX(#REF!,MATCH($D240,#REF!,0)),"")</f>
      </c>
    </row>
    <row x14ac:dyDescent="0.25" r="241" customHeight="1" ht="18.75">
      <c r="A241" s="7">
        <v>101258620</v>
      </c>
      <c r="B241" s="8">
        <v>45916</v>
      </c>
      <c r="C241" s="9">
        <v>5.020833333333333</v>
      </c>
      <c r="D241" s="7">
        <v>102667</v>
      </c>
      <c r="E241" s="10">
        <v>78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19">
        <f>IFERROR(INDEX(#REF!,MATCH($D241,#REF!,"")),"")</f>
      </c>
      <c r="AL241" s="19">
        <f>IFERROR(INDEX(#REF!,MATCH($D241,#REF!,"")),"")</f>
      </c>
      <c r="AM241" s="19">
        <f>IFERROR(INDEX(#REF!,MATCH($D241,#REF!,"")),"")</f>
      </c>
      <c r="AN241" s="19">
        <f>IFERROR(INDEX(#REF!,MATCH($D241,#REF!,0)),"")</f>
      </c>
    </row>
    <row x14ac:dyDescent="0.25" r="242" customHeight="1" ht="18.75">
      <c r="A242" s="7">
        <v>101258621</v>
      </c>
      <c r="B242" s="8">
        <v>45916</v>
      </c>
      <c r="C242" s="9">
        <v>5.020833333333333</v>
      </c>
      <c r="D242" s="7">
        <v>102668</v>
      </c>
      <c r="E242" s="10">
        <v>124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19">
        <f>IFERROR(INDEX(#REF!,MATCH($D242,#REF!,"")),"")</f>
      </c>
      <c r="AL242" s="19">
        <f>IFERROR(INDEX(#REF!,MATCH($D242,#REF!,"")),"")</f>
      </c>
      <c r="AM242" s="19">
        <f>IFERROR(INDEX(#REF!,MATCH($D242,#REF!,"")),"")</f>
      </c>
      <c r="AN242" s="19">
        <f>IFERROR(INDEX(#REF!,MATCH($D242,#REF!,0)),"")</f>
      </c>
    </row>
    <row x14ac:dyDescent="0.25" r="243" customHeight="1" ht="18.75">
      <c r="A243" s="7">
        <v>101258623</v>
      </c>
      <c r="B243" s="8">
        <v>45916</v>
      </c>
      <c r="C243" s="9">
        <v>5.020833333333333</v>
      </c>
      <c r="D243" s="7">
        <v>102669</v>
      </c>
      <c r="E243" s="10">
        <v>208</v>
      </c>
      <c r="F243" s="6"/>
      <c r="G243" s="6"/>
      <c r="H243" s="6" t="s">
        <v>18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 t="s">
        <v>18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19">
        <f>IFERROR(INDEX(#REF!,MATCH($D243,#REF!,"")),"")</f>
      </c>
      <c r="AL243" s="19">
        <f>IFERROR(INDEX(#REF!,MATCH($D243,#REF!,"")),"")</f>
      </c>
      <c r="AM243" s="19">
        <f>IFERROR(INDEX(#REF!,MATCH($D243,#REF!,"")),"")</f>
      </c>
      <c r="AN243" s="19">
        <f>IFERROR(INDEX(#REF!,MATCH($D243,#REF!,0)),"")</f>
      </c>
    </row>
    <row x14ac:dyDescent="0.25" r="244" customHeight="1" ht="18.75">
      <c r="A244" s="7">
        <v>101258624</v>
      </c>
      <c r="B244" s="8">
        <v>45916</v>
      </c>
      <c r="C244" s="9">
        <v>5.020833333333333</v>
      </c>
      <c r="D244" s="7">
        <v>112393</v>
      </c>
      <c r="E244" s="10">
        <v>165</v>
      </c>
      <c r="F244" s="6" t="s">
        <v>8</v>
      </c>
      <c r="G244" s="6"/>
      <c r="H244" s="6" t="s">
        <v>18</v>
      </c>
      <c r="I244" s="6" t="s">
        <v>163</v>
      </c>
      <c r="J244" s="6" t="s">
        <v>169</v>
      </c>
      <c r="K244" s="6" t="s">
        <v>170</v>
      </c>
      <c r="L244" s="6" t="s">
        <v>175</v>
      </c>
      <c r="M244" s="6" t="s">
        <v>171</v>
      </c>
      <c r="N244" s="6" t="s">
        <v>145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 t="s">
        <v>201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19">
        <f>IFERROR(INDEX(#REF!,MATCH($D244,#REF!,"")),"")</f>
      </c>
      <c r="AL244" s="19">
        <f>IFERROR(INDEX(#REF!,MATCH($D244,#REF!,"")),"")</f>
      </c>
      <c r="AM244" s="19">
        <f>IFERROR(INDEX(#REF!,MATCH($D244,#REF!,"")),"")</f>
      </c>
      <c r="AN244" s="19">
        <f>IFERROR(INDEX(#REF!,MATCH($D244,#REF!,0)),"")</f>
      </c>
    </row>
    <row x14ac:dyDescent="0.25" r="245" customHeight="1" ht="18.75">
      <c r="A245" s="7">
        <v>101258626</v>
      </c>
      <c r="B245" s="8">
        <v>45916</v>
      </c>
      <c r="C245" s="9">
        <v>5.020833333333333</v>
      </c>
      <c r="D245" s="7">
        <v>119049</v>
      </c>
      <c r="E245" s="10">
        <v>99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19">
        <f>IFERROR(INDEX(#REF!,MATCH($D245,#REF!,"")),"")</f>
      </c>
      <c r="AL245" s="19">
        <f>IFERROR(INDEX(#REF!,MATCH($D245,#REF!,"")),"")</f>
      </c>
      <c r="AM245" s="19">
        <f>IFERROR(INDEX(#REF!,MATCH($D245,#REF!,"")),"")</f>
      </c>
      <c r="AN245" s="19">
        <f>IFERROR(INDEX(#REF!,MATCH($D245,#REF!,0)),"")</f>
      </c>
    </row>
    <row x14ac:dyDescent="0.25" r="246" customHeight="1" ht="18.75">
      <c r="A246" s="7">
        <v>101258628</v>
      </c>
      <c r="B246" s="8">
        <v>45916</v>
      </c>
      <c r="C246" s="9">
        <v>5.020833333333333</v>
      </c>
      <c r="D246" s="7">
        <v>124796</v>
      </c>
      <c r="E246" s="10">
        <v>46</v>
      </c>
      <c r="F246" s="6" t="s">
        <v>8</v>
      </c>
      <c r="G246" s="6"/>
      <c r="H246" s="6" t="s">
        <v>163</v>
      </c>
      <c r="I246" s="6" t="s">
        <v>169</v>
      </c>
      <c r="J246" s="6" t="s">
        <v>170</v>
      </c>
      <c r="K246" s="6" t="s">
        <v>171</v>
      </c>
      <c r="L246" s="6" t="s">
        <v>145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 t="s">
        <v>11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19">
        <f>IFERROR(INDEX(#REF!,MATCH($D246,#REF!,"")),"")</f>
      </c>
      <c r="AL246" s="19">
        <f>IFERROR(INDEX(#REF!,MATCH($D246,#REF!,"")),"")</f>
      </c>
      <c r="AM246" s="19">
        <f>IFERROR(INDEX(#REF!,MATCH($D246,#REF!,"")),"")</f>
      </c>
      <c r="AN246" s="19">
        <f>IFERROR(INDEX(#REF!,MATCH($D246,#REF!,0)),"")</f>
      </c>
    </row>
    <row x14ac:dyDescent="0.25" r="247" customHeight="1" ht="18.75">
      <c r="A247" s="7">
        <v>101241543</v>
      </c>
      <c r="B247" s="8">
        <v>45916</v>
      </c>
      <c r="C247" s="9">
        <v>5.361111111111111</v>
      </c>
      <c r="D247" s="7">
        <v>119050</v>
      </c>
      <c r="E247" s="10">
        <v>879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19">
        <f>IFERROR(INDEX(#REF!,MATCH($D247,#REF!,"")),"")</f>
      </c>
      <c r="AL247" s="19">
        <f>IFERROR(INDEX(#REF!,MATCH($D247,#REF!,"")),"")</f>
      </c>
      <c r="AM247" s="19">
        <f>IFERROR(INDEX(#REF!,MATCH($D247,#REF!,"")),"")</f>
      </c>
      <c r="AN247" s="19">
        <f>IFERROR(INDEX(#REF!,MATCH($D247,#REF!,0)),"")</f>
      </c>
    </row>
    <row x14ac:dyDescent="0.25" r="248" customHeight="1" ht="18.75">
      <c r="A248" s="7">
        <v>101241545</v>
      </c>
      <c r="B248" s="8">
        <v>45916</v>
      </c>
      <c r="C248" s="9">
        <v>5.375</v>
      </c>
      <c r="D248" s="7">
        <v>120541</v>
      </c>
      <c r="E248" s="10">
        <v>51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19">
        <f>IFERROR(INDEX(#REF!,MATCH($D248,#REF!,"")),"")</f>
      </c>
      <c r="AL248" s="19">
        <f>IFERROR(INDEX(#REF!,MATCH($D248,#REF!,"")),"")</f>
      </c>
      <c r="AM248" s="19">
        <f>IFERROR(INDEX(#REF!,MATCH($D248,#REF!,"")),"")</f>
      </c>
      <c r="AN248" s="19">
        <f>IFERROR(INDEX(#REF!,MATCH($D248,#REF!,0)),"")</f>
      </c>
    </row>
    <row x14ac:dyDescent="0.25" r="249" customHeight="1" ht="18.75">
      <c r="A249" s="7">
        <v>101241559</v>
      </c>
      <c r="B249" s="8">
        <v>45916</v>
      </c>
      <c r="C249" s="9">
        <v>5.381944444444445</v>
      </c>
      <c r="D249" s="7">
        <v>112390</v>
      </c>
      <c r="E249" s="10">
        <v>386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19">
        <f>IFERROR(INDEX(#REF!,MATCH($D249,#REF!,"")),"")</f>
      </c>
      <c r="AL249" s="19">
        <f>IFERROR(INDEX(#REF!,MATCH($D249,#REF!,"")),"")</f>
      </c>
      <c r="AM249" s="19">
        <f>IFERROR(INDEX(#REF!,MATCH($D249,#REF!,"")),"")</f>
      </c>
      <c r="AN249" s="19">
        <f>IFERROR(INDEX(#REF!,MATCH($D249,#REF!,0)),"")</f>
      </c>
    </row>
    <row x14ac:dyDescent="0.25" r="250" customHeight="1" ht="18.75">
      <c r="A250" s="7">
        <v>101241548</v>
      </c>
      <c r="B250" s="8">
        <v>45916</v>
      </c>
      <c r="C250" s="9">
        <v>5.388888888888889</v>
      </c>
      <c r="D250" s="7">
        <v>102259</v>
      </c>
      <c r="E250" s="10">
        <v>98</v>
      </c>
      <c r="F250" s="6" t="s">
        <v>8</v>
      </c>
      <c r="G250" s="6"/>
      <c r="H250" s="6" t="s">
        <v>163</v>
      </c>
      <c r="I250" s="6" t="s">
        <v>169</v>
      </c>
      <c r="J250" s="6" t="s">
        <v>170</v>
      </c>
      <c r="K250" s="6" t="s">
        <v>175</v>
      </c>
      <c r="L250" s="6" t="s">
        <v>171</v>
      </c>
      <c r="M250" s="6" t="s">
        <v>145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 t="s">
        <v>12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19">
        <f>IFERROR(INDEX(#REF!,MATCH($D250,#REF!,"")),"")</f>
      </c>
      <c r="AL250" s="19">
        <f>IFERROR(INDEX(#REF!,MATCH($D250,#REF!,"")),"")</f>
      </c>
      <c r="AM250" s="19">
        <f>IFERROR(INDEX(#REF!,MATCH($D250,#REF!,"")),"")</f>
      </c>
      <c r="AN250" s="19">
        <f>IFERROR(INDEX(#REF!,MATCH($D250,#REF!,0)),"")</f>
      </c>
    </row>
    <row x14ac:dyDescent="0.25" r="251" customHeight="1" ht="18.75">
      <c r="A251" s="7">
        <v>101241550</v>
      </c>
      <c r="B251" s="8">
        <v>45916</v>
      </c>
      <c r="C251" s="9">
        <v>5.402777777777778</v>
      </c>
      <c r="D251" s="7">
        <v>102581</v>
      </c>
      <c r="E251" s="10">
        <v>185</v>
      </c>
      <c r="F251" s="6" t="s">
        <v>8</v>
      </c>
      <c r="G251" s="6"/>
      <c r="H251" s="6" t="s">
        <v>163</v>
      </c>
      <c r="I251" s="6" t="s">
        <v>169</v>
      </c>
      <c r="J251" s="6" t="s">
        <v>170</v>
      </c>
      <c r="K251" s="6" t="s">
        <v>171</v>
      </c>
      <c r="L251" s="6" t="s">
        <v>145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 t="s">
        <v>11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19">
        <f>IFERROR(INDEX(#REF!,MATCH($D251,#REF!,"")),"")</f>
      </c>
      <c r="AL251" s="19">
        <f>IFERROR(INDEX(#REF!,MATCH($D251,#REF!,"")),"")</f>
      </c>
      <c r="AM251" s="19">
        <f>IFERROR(INDEX(#REF!,MATCH($D251,#REF!,"")),"")</f>
      </c>
      <c r="AN251" s="19">
        <f>IFERROR(INDEX(#REF!,MATCH($D251,#REF!,0)),"")</f>
      </c>
    </row>
    <row x14ac:dyDescent="0.25" r="252" customHeight="1" ht="18.75">
      <c r="A252" s="7">
        <v>101241551</v>
      </c>
      <c r="B252" s="8">
        <v>45916</v>
      </c>
      <c r="C252" s="9">
        <v>5.409722222222222</v>
      </c>
      <c r="D252" s="7">
        <v>102637</v>
      </c>
      <c r="E252" s="10">
        <v>253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19">
        <f>IFERROR(INDEX(#REF!,MATCH($D252,#REF!,"")),"")</f>
      </c>
      <c r="AL252" s="19">
        <f>IFERROR(INDEX(#REF!,MATCH($D252,#REF!,"")),"")</f>
      </c>
      <c r="AM252" s="19">
        <f>IFERROR(INDEX(#REF!,MATCH($D252,#REF!,"")),"")</f>
      </c>
      <c r="AN252" s="19">
        <f>IFERROR(INDEX(#REF!,MATCH($D252,#REF!,0)),"")</f>
      </c>
    </row>
    <row x14ac:dyDescent="0.25" r="253" customHeight="1" ht="18.75">
      <c r="A253" s="7">
        <v>101241552</v>
      </c>
      <c r="B253" s="8">
        <v>45916</v>
      </c>
      <c r="C253" s="9">
        <v>5.416666666666667</v>
      </c>
      <c r="D253" s="7">
        <v>102559</v>
      </c>
      <c r="E253" s="10">
        <v>384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19">
        <f>IFERROR(INDEX(#REF!,MATCH($D253,#REF!,"")),"")</f>
      </c>
      <c r="AL253" s="19">
        <f>IFERROR(INDEX(#REF!,MATCH($D253,#REF!,"")),"")</f>
      </c>
      <c r="AM253" s="19">
        <f>IFERROR(INDEX(#REF!,MATCH($D253,#REF!,"")),"")</f>
      </c>
      <c r="AN253" s="19">
        <f>IFERROR(INDEX(#REF!,MATCH($D253,#REF!,0)),"")</f>
      </c>
    </row>
    <row x14ac:dyDescent="0.25" r="254" customHeight="1" ht="18.75">
      <c r="A254" s="7">
        <v>101241553</v>
      </c>
      <c r="B254" s="8">
        <v>45916</v>
      </c>
      <c r="C254" s="9">
        <v>5.423611111111111</v>
      </c>
      <c r="D254" s="7">
        <v>102271</v>
      </c>
      <c r="E254" s="10">
        <v>249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19">
        <f>IFERROR(INDEX(#REF!,MATCH($D254,#REF!,"")),"")</f>
      </c>
      <c r="AL254" s="19">
        <f>IFERROR(INDEX(#REF!,MATCH($D254,#REF!,"")),"")</f>
      </c>
      <c r="AM254" s="19">
        <f>IFERROR(INDEX(#REF!,MATCH($D254,#REF!,"")),"")</f>
      </c>
      <c r="AN254" s="19">
        <f>IFERROR(INDEX(#REF!,MATCH($D254,#REF!,0)),"")</f>
      </c>
    </row>
    <row x14ac:dyDescent="0.25" r="255" customHeight="1" ht="18.75">
      <c r="A255" s="7">
        <v>101241555</v>
      </c>
      <c r="B255" s="8">
        <v>45916</v>
      </c>
      <c r="C255" s="9">
        <v>5.4375</v>
      </c>
      <c r="D255" s="7">
        <v>120423</v>
      </c>
      <c r="E255" s="10">
        <v>720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19">
        <f>IFERROR(INDEX(#REF!,MATCH($D255,#REF!,"")),"")</f>
      </c>
      <c r="AL255" s="19">
        <f>IFERROR(INDEX(#REF!,MATCH($D255,#REF!,"")),"")</f>
      </c>
      <c r="AM255" s="19">
        <f>IFERROR(INDEX(#REF!,MATCH($D255,#REF!,"")),"")</f>
      </c>
      <c r="AN255" s="19">
        <f>IFERROR(INDEX(#REF!,MATCH($D255,#REF!,0)),"")</f>
      </c>
    </row>
    <row x14ac:dyDescent="0.25" r="256" customHeight="1" ht="18.75">
      <c r="A256" s="7">
        <v>101241564</v>
      </c>
      <c r="B256" s="8">
        <v>45916</v>
      </c>
      <c r="C256" s="9">
        <v>5.493055555555555</v>
      </c>
      <c r="D256" s="7">
        <v>102566</v>
      </c>
      <c r="E256" s="10">
        <v>119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19">
        <f>IFERROR(INDEX(#REF!,MATCH($D256,#REF!,"")),"")</f>
      </c>
      <c r="AL256" s="19">
        <f>IFERROR(INDEX(#REF!,MATCH($D256,#REF!,"")),"")</f>
      </c>
      <c r="AM256" s="19">
        <f>IFERROR(INDEX(#REF!,MATCH($D256,#REF!,"")),"")</f>
      </c>
      <c r="AN256" s="19">
        <f>IFERROR(INDEX(#REF!,MATCH($D256,#REF!,0)),"")</f>
      </c>
    </row>
    <row x14ac:dyDescent="0.25" r="257" customHeight="1" ht="18.75">
      <c r="A257" s="7">
        <v>101241811</v>
      </c>
      <c r="B257" s="8">
        <v>45917</v>
      </c>
      <c r="C257" s="9">
        <v>5.361111111111111</v>
      </c>
      <c r="D257" s="7">
        <v>102194</v>
      </c>
      <c r="E257" s="10">
        <v>310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19">
        <f>IFERROR(INDEX(#REF!,MATCH($D257,#REF!,"")),"")</f>
      </c>
      <c r="AL257" s="19">
        <f>IFERROR(INDEX(#REF!,MATCH($D257,#REF!,"")),"")</f>
      </c>
      <c r="AM257" s="19">
        <f>IFERROR(INDEX(#REF!,MATCH($D257,#REF!,"")),"")</f>
      </c>
      <c r="AN257" s="19">
        <f>IFERROR(INDEX(#REF!,MATCH($D257,#REF!,0)),"")</f>
      </c>
    </row>
    <row x14ac:dyDescent="0.25" r="258" customHeight="1" ht="18.75">
      <c r="A258" s="7">
        <v>101241812</v>
      </c>
      <c r="B258" s="8">
        <v>45917</v>
      </c>
      <c r="C258" s="9">
        <v>5.368055555555555</v>
      </c>
      <c r="D258" s="7">
        <v>102196</v>
      </c>
      <c r="E258" s="10">
        <v>161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19">
        <f>IFERROR(INDEX(#REF!,MATCH($D258,#REF!,"")),"")</f>
      </c>
      <c r="AL258" s="19">
        <f>IFERROR(INDEX(#REF!,MATCH($D258,#REF!,"")),"")</f>
      </c>
      <c r="AM258" s="19">
        <f>IFERROR(INDEX(#REF!,MATCH($D258,#REF!,"")),"")</f>
      </c>
      <c r="AN258" s="19">
        <f>IFERROR(INDEX(#REF!,MATCH($D258,#REF!,0)),"")</f>
      </c>
    </row>
    <row x14ac:dyDescent="0.25" r="259" customHeight="1" ht="18.75">
      <c r="A259" s="7">
        <v>101242056</v>
      </c>
      <c r="B259" s="8">
        <v>45917</v>
      </c>
      <c r="C259" s="9">
        <v>5.368055555555555</v>
      </c>
      <c r="D259" s="7">
        <v>102240</v>
      </c>
      <c r="E259" s="10">
        <v>64</v>
      </c>
      <c r="F259" s="6" t="s">
        <v>8</v>
      </c>
      <c r="G259" s="6"/>
      <c r="H259" s="6" t="s">
        <v>169</v>
      </c>
      <c r="I259" s="6" t="s">
        <v>170</v>
      </c>
      <c r="J259" s="6" t="s">
        <v>171</v>
      </c>
      <c r="K259" s="6" t="s">
        <v>145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 t="s">
        <v>196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19">
        <f>IFERROR(INDEX(#REF!,MATCH($D259,#REF!,"")),"")</f>
      </c>
      <c r="AL259" s="19">
        <f>IFERROR(INDEX(#REF!,MATCH($D259,#REF!,"")),"")</f>
      </c>
      <c r="AM259" s="19">
        <f>IFERROR(INDEX(#REF!,MATCH($D259,#REF!,"")),"")</f>
      </c>
      <c r="AN259" s="19">
        <f>IFERROR(INDEX(#REF!,MATCH($D259,#REF!,0)),"")</f>
      </c>
    </row>
    <row x14ac:dyDescent="0.25" r="260" customHeight="1" ht="18.75">
      <c r="A260" s="7">
        <v>101241813</v>
      </c>
      <c r="B260" s="8">
        <v>45917</v>
      </c>
      <c r="C260" s="9">
        <v>5.375</v>
      </c>
      <c r="D260" s="7">
        <v>102215</v>
      </c>
      <c r="E260" s="10">
        <v>99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19">
        <f>IFERROR(INDEX(#REF!,MATCH($D260,#REF!,"")),"")</f>
      </c>
      <c r="AL260" s="19">
        <f>IFERROR(INDEX(#REF!,MATCH($D260,#REF!,"")),"")</f>
      </c>
      <c r="AM260" s="19">
        <f>IFERROR(INDEX(#REF!,MATCH($D260,#REF!,"")),"")</f>
      </c>
      <c r="AN260" s="19">
        <f>IFERROR(INDEX(#REF!,MATCH($D260,#REF!,0)),"")</f>
      </c>
    </row>
    <row x14ac:dyDescent="0.25" r="261" customHeight="1" ht="18.75">
      <c r="A261" s="7">
        <v>101242248</v>
      </c>
      <c r="B261" s="8">
        <v>45917</v>
      </c>
      <c r="C261" s="9">
        <v>5.381944444444445</v>
      </c>
      <c r="D261" s="7">
        <v>124677</v>
      </c>
      <c r="E261" s="10">
        <v>147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19">
        <f>IFERROR(INDEX(#REF!,MATCH($D261,#REF!,"")),"")</f>
      </c>
      <c r="AL261" s="19">
        <f>IFERROR(INDEX(#REF!,MATCH($D261,#REF!,"")),"")</f>
      </c>
      <c r="AM261" s="19">
        <f>IFERROR(INDEX(#REF!,MATCH($D261,#REF!,"")),"")</f>
      </c>
      <c r="AN261" s="19">
        <f>IFERROR(INDEX(#REF!,MATCH($D261,#REF!,0)),"")</f>
      </c>
    </row>
    <row x14ac:dyDescent="0.25" r="262" customHeight="1" ht="18.75">
      <c r="A262" s="7">
        <v>101241815</v>
      </c>
      <c r="B262" s="8">
        <v>45917</v>
      </c>
      <c r="C262" s="9">
        <v>5.388888888888889</v>
      </c>
      <c r="D262" s="7">
        <v>102295</v>
      </c>
      <c r="E262" s="10">
        <v>159</v>
      </c>
      <c r="F262" s="6" t="s">
        <v>8</v>
      </c>
      <c r="G262" s="6" t="s">
        <v>8</v>
      </c>
      <c r="H262" s="6" t="s">
        <v>18</v>
      </c>
      <c r="I262" s="6" t="s">
        <v>163</v>
      </c>
      <c r="J262" s="6" t="s">
        <v>169</v>
      </c>
      <c r="K262" s="6" t="s">
        <v>170</v>
      </c>
      <c r="L262" s="6" t="s">
        <v>175</v>
      </c>
      <c r="M262" s="6" t="s">
        <v>171</v>
      </c>
      <c r="N262" s="6" t="s">
        <v>145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 t="s">
        <v>201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19">
        <f>IFERROR(INDEX(#REF!,MATCH($D262,#REF!,"")),"")</f>
      </c>
      <c r="AL262" s="19">
        <f>IFERROR(INDEX(#REF!,MATCH($D262,#REF!,"")),"")</f>
      </c>
      <c r="AM262" s="19">
        <f>IFERROR(INDEX(#REF!,MATCH($D262,#REF!,"")),"")</f>
      </c>
      <c r="AN262" s="19">
        <f>IFERROR(INDEX(#REF!,MATCH($D262,#REF!,0)),"")</f>
      </c>
    </row>
    <row x14ac:dyDescent="0.25" r="263" customHeight="1" ht="18.75">
      <c r="A263" s="7">
        <v>101241816</v>
      </c>
      <c r="B263" s="8">
        <v>45917</v>
      </c>
      <c r="C263" s="9">
        <v>5.395833333333333</v>
      </c>
      <c r="D263" s="7">
        <v>102298</v>
      </c>
      <c r="E263" s="10">
        <v>79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19">
        <f>IFERROR(INDEX(#REF!,MATCH($D263,#REF!,"")),"")</f>
      </c>
      <c r="AL263" s="19">
        <f>IFERROR(INDEX(#REF!,MATCH($D263,#REF!,"")),"")</f>
      </c>
      <c r="AM263" s="19">
        <f>IFERROR(INDEX(#REF!,MATCH($D263,#REF!,"")),"")</f>
      </c>
      <c r="AN263" s="19">
        <f>IFERROR(INDEX(#REF!,MATCH($D263,#REF!,0)),"")</f>
      </c>
    </row>
    <row x14ac:dyDescent="0.25" r="264" customHeight="1" ht="18.75">
      <c r="A264" s="7">
        <v>101241817</v>
      </c>
      <c r="B264" s="8">
        <v>45917</v>
      </c>
      <c r="C264" s="9">
        <v>5.402777777777778</v>
      </c>
      <c r="D264" s="7">
        <v>102513</v>
      </c>
      <c r="E264" s="10">
        <v>129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19">
        <f>IFERROR(INDEX(#REF!,MATCH($D264,#REF!,"")),"")</f>
      </c>
      <c r="AL264" s="19">
        <f>IFERROR(INDEX(#REF!,MATCH($D264,#REF!,"")),"")</f>
      </c>
      <c r="AM264" s="19">
        <f>IFERROR(INDEX(#REF!,MATCH($D264,#REF!,"")),"")</f>
      </c>
      <c r="AN264" s="19">
        <f>IFERROR(INDEX(#REF!,MATCH($D264,#REF!,0)),"")</f>
      </c>
    </row>
    <row x14ac:dyDescent="0.25" r="265" customHeight="1" ht="18.75">
      <c r="A265" s="7">
        <v>101241818</v>
      </c>
      <c r="B265" s="8">
        <v>45917</v>
      </c>
      <c r="C265" s="9">
        <v>5.409722222222222</v>
      </c>
      <c r="D265" s="7">
        <v>102538</v>
      </c>
      <c r="E265" s="10">
        <v>90</v>
      </c>
      <c r="F265" s="6"/>
      <c r="G265" s="6"/>
      <c r="H265" s="6" t="s">
        <v>18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 t="s">
        <v>18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19">
        <f>IFERROR(INDEX(#REF!,MATCH($D265,#REF!,"")),"")</f>
      </c>
      <c r="AL265" s="19">
        <f>IFERROR(INDEX(#REF!,MATCH($D265,#REF!,"")),"")</f>
      </c>
      <c r="AM265" s="19">
        <f>IFERROR(INDEX(#REF!,MATCH($D265,#REF!,"")),"")</f>
      </c>
      <c r="AN265" s="19">
        <f>IFERROR(INDEX(#REF!,MATCH($D265,#REF!,0)),"")</f>
      </c>
    </row>
    <row x14ac:dyDescent="0.25" r="266" customHeight="1" ht="18.75">
      <c r="A266" s="7">
        <v>101241822</v>
      </c>
      <c r="B266" s="8">
        <v>45917</v>
      </c>
      <c r="C266" s="9">
        <v>5.4375</v>
      </c>
      <c r="D266" s="7">
        <v>120307</v>
      </c>
      <c r="E266" s="10">
        <v>30</v>
      </c>
      <c r="F266" s="6" t="s">
        <v>8</v>
      </c>
      <c r="G266" s="6" t="s">
        <v>8</v>
      </c>
      <c r="H266" s="6" t="s">
        <v>176</v>
      </c>
      <c r="I266" s="6" t="s">
        <v>177</v>
      </c>
      <c r="J266" s="6" t="s">
        <v>178</v>
      </c>
      <c r="K266" s="6" t="s">
        <v>179</v>
      </c>
      <c r="L266" s="6" t="s">
        <v>163</v>
      </c>
      <c r="M266" s="6" t="s">
        <v>189</v>
      </c>
      <c r="N266" s="6" t="s">
        <v>190</v>
      </c>
      <c r="O266" s="6" t="s">
        <v>191</v>
      </c>
      <c r="P266" s="6" t="s">
        <v>192</v>
      </c>
      <c r="Q266" s="6" t="s">
        <v>193</v>
      </c>
      <c r="R266" s="6" t="s">
        <v>194</v>
      </c>
      <c r="S266" s="6" t="s">
        <v>195</v>
      </c>
      <c r="T266" s="6" t="s">
        <v>169</v>
      </c>
      <c r="U266" s="6" t="s">
        <v>170</v>
      </c>
      <c r="V266" s="6" t="s">
        <v>175</v>
      </c>
      <c r="W266" s="6" t="s">
        <v>171</v>
      </c>
      <c r="X266" s="6" t="s">
        <v>145</v>
      </c>
      <c r="Y266" s="6"/>
      <c r="Z266" s="6"/>
      <c r="AA266" s="6" t="s">
        <v>209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19">
        <f>IFERROR(INDEX(#REF!,MATCH($D266,#REF!,"")),"")</f>
      </c>
      <c r="AL266" s="19">
        <f>IFERROR(INDEX(#REF!,MATCH($D266,#REF!,"")),"")</f>
      </c>
      <c r="AM266" s="19">
        <f>IFERROR(INDEX(#REF!,MATCH($D266,#REF!,"")),"")</f>
      </c>
      <c r="AN266" s="19">
        <f>IFERROR(INDEX(#REF!,MATCH($D266,#REF!,0)),"")</f>
      </c>
    </row>
    <row x14ac:dyDescent="0.25" r="267" customHeight="1" ht="18.75">
      <c r="A267" s="7">
        <v>101242256</v>
      </c>
      <c r="B267" s="8">
        <v>45917</v>
      </c>
      <c r="C267" s="9">
        <v>5.4375</v>
      </c>
      <c r="D267" s="7">
        <v>120550</v>
      </c>
      <c r="E267" s="10">
        <v>210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19">
        <f>IFERROR(INDEX(#REF!,MATCH($D267,#REF!,"")),"")</f>
      </c>
      <c r="AL267" s="19">
        <f>IFERROR(INDEX(#REF!,MATCH($D267,#REF!,"")),"")</f>
      </c>
      <c r="AM267" s="19">
        <f>IFERROR(INDEX(#REF!,MATCH($D267,#REF!,"")),"")</f>
      </c>
      <c r="AN267" s="19">
        <f>IFERROR(INDEX(#REF!,MATCH($D267,#REF!,0)),"")</f>
      </c>
    </row>
    <row x14ac:dyDescent="0.25" r="268" customHeight="1" ht="18.75">
      <c r="A268" s="7">
        <v>101241823</v>
      </c>
      <c r="B268" s="8">
        <v>45917</v>
      </c>
      <c r="C268" s="9">
        <v>5.444444444444445</v>
      </c>
      <c r="D268" s="7">
        <v>113966</v>
      </c>
      <c r="E268" s="10">
        <v>486</v>
      </c>
      <c r="F268" s="6" t="s">
        <v>8</v>
      </c>
      <c r="G268" s="6"/>
      <c r="H268" s="6" t="s">
        <v>163</v>
      </c>
      <c r="I268" s="6" t="s">
        <v>169</v>
      </c>
      <c r="J268" s="6" t="s">
        <v>170</v>
      </c>
      <c r="K268" s="6" t="s">
        <v>175</v>
      </c>
      <c r="L268" s="6" t="s">
        <v>171</v>
      </c>
      <c r="M268" s="6" t="s">
        <v>145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 t="s">
        <v>12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19">
        <f>IFERROR(INDEX(#REF!,MATCH($D268,#REF!,"")),"")</f>
      </c>
      <c r="AL268" s="19">
        <f>IFERROR(INDEX(#REF!,MATCH($D268,#REF!,"")),"")</f>
      </c>
      <c r="AM268" s="19">
        <f>IFERROR(INDEX(#REF!,MATCH($D268,#REF!,"")),"")</f>
      </c>
      <c r="AN268" s="19">
        <f>IFERROR(INDEX(#REF!,MATCH($D268,#REF!,0)),"")</f>
      </c>
    </row>
    <row x14ac:dyDescent="0.25" r="269" customHeight="1" ht="18.75">
      <c r="A269" s="7">
        <v>101241558</v>
      </c>
      <c r="B269" s="8">
        <v>45917</v>
      </c>
      <c r="C269" s="9">
        <v>5.451388888888889</v>
      </c>
      <c r="D269" s="7">
        <v>105310</v>
      </c>
      <c r="E269" s="10">
        <v>130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19">
        <f>IFERROR(INDEX(#REF!,MATCH($D269,#REF!,"")),"")</f>
      </c>
      <c r="AL269" s="19">
        <f>IFERROR(INDEX(#REF!,MATCH($D269,#REF!,"")),"")</f>
      </c>
      <c r="AM269" s="19">
        <f>IFERROR(INDEX(#REF!,MATCH($D269,#REF!,"")),"")</f>
      </c>
      <c r="AN269" s="19">
        <f>IFERROR(INDEX(#REF!,MATCH($D269,#REF!,0)),"")</f>
      </c>
    </row>
    <row x14ac:dyDescent="0.25" r="270" customHeight="1" ht="18.75">
      <c r="A270" s="7">
        <v>101241826</v>
      </c>
      <c r="B270" s="8">
        <v>45917</v>
      </c>
      <c r="C270" s="9">
        <v>5.458333333333333</v>
      </c>
      <c r="D270" s="7">
        <v>102231</v>
      </c>
      <c r="E270" s="10">
        <v>51</v>
      </c>
      <c r="F270" s="6" t="s">
        <v>8</v>
      </c>
      <c r="G270" s="6"/>
      <c r="H270" s="6" t="s">
        <v>18</v>
      </c>
      <c r="I270" s="6" t="s">
        <v>163</v>
      </c>
      <c r="J270" s="6" t="s">
        <v>169</v>
      </c>
      <c r="K270" s="6" t="s">
        <v>170</v>
      </c>
      <c r="L270" s="6" t="s">
        <v>175</v>
      </c>
      <c r="M270" s="6" t="s">
        <v>171</v>
      </c>
      <c r="N270" s="6" t="s">
        <v>145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 t="s">
        <v>201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19">
        <f>IFERROR(INDEX(#REF!,MATCH($D270,#REF!,"")),"")</f>
      </c>
      <c r="AL270" s="19">
        <f>IFERROR(INDEX(#REF!,MATCH($D270,#REF!,"")),"")</f>
      </c>
      <c r="AM270" s="19">
        <f>IFERROR(INDEX(#REF!,MATCH($D270,#REF!,"")),"")</f>
      </c>
      <c r="AN270" s="19">
        <f>IFERROR(INDEX(#REF!,MATCH($D270,#REF!,0)),"")</f>
      </c>
    </row>
    <row x14ac:dyDescent="0.25" r="271" customHeight="1" ht="18.75">
      <c r="A271" s="7">
        <v>101241828</v>
      </c>
      <c r="B271" s="8">
        <v>45917</v>
      </c>
      <c r="C271" s="9">
        <v>5.465277777777778</v>
      </c>
      <c r="D271" s="7">
        <v>109467</v>
      </c>
      <c r="E271" s="10">
        <v>40</v>
      </c>
      <c r="F271" s="6" t="s">
        <v>8</v>
      </c>
      <c r="G271" s="6"/>
      <c r="H271" s="6" t="s">
        <v>18</v>
      </c>
      <c r="I271" s="6" t="s">
        <v>163</v>
      </c>
      <c r="J271" s="6" t="s">
        <v>164</v>
      </c>
      <c r="K271" s="6" t="s">
        <v>165</v>
      </c>
      <c r="L271" s="6" t="s">
        <v>166</v>
      </c>
      <c r="M271" s="6" t="s">
        <v>14</v>
      </c>
      <c r="N271" s="6" t="s">
        <v>169</v>
      </c>
      <c r="O271" s="6" t="s">
        <v>170</v>
      </c>
      <c r="P271" s="6" t="s">
        <v>175</v>
      </c>
      <c r="Q271" s="6" t="s">
        <v>171</v>
      </c>
      <c r="R271" s="6" t="s">
        <v>145</v>
      </c>
      <c r="S271" s="6"/>
      <c r="T271" s="6"/>
      <c r="U271" s="6"/>
      <c r="V271" s="6"/>
      <c r="W271" s="6"/>
      <c r="X271" s="6"/>
      <c r="Y271" s="6"/>
      <c r="Z271" s="6"/>
      <c r="AA271" s="6" t="s">
        <v>210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19">
        <f>IFERROR(INDEX(#REF!,MATCH($D271,#REF!,"")),"")</f>
      </c>
      <c r="AL271" s="19">
        <f>IFERROR(INDEX(#REF!,MATCH($D271,#REF!,"")),"")</f>
      </c>
      <c r="AM271" s="19">
        <f>IFERROR(INDEX(#REF!,MATCH($D271,#REF!,"")),"")</f>
      </c>
      <c r="AN271" s="19">
        <f>IFERROR(INDEX(#REF!,MATCH($D271,#REF!,0)),"")</f>
      </c>
    </row>
    <row x14ac:dyDescent="0.25" r="272" customHeight="1" ht="18.75">
      <c r="A272" s="7">
        <v>101241829</v>
      </c>
      <c r="B272" s="8">
        <v>45917</v>
      </c>
      <c r="C272" s="9">
        <v>5.472222222222222</v>
      </c>
      <c r="D272" s="7">
        <v>111393</v>
      </c>
      <c r="E272" s="10">
        <v>192</v>
      </c>
      <c r="F272" s="6" t="s">
        <v>8</v>
      </c>
      <c r="G272" s="6"/>
      <c r="H272" s="6" t="s">
        <v>18</v>
      </c>
      <c r="I272" s="6" t="s">
        <v>163</v>
      </c>
      <c r="J272" s="6" t="s">
        <v>169</v>
      </c>
      <c r="K272" s="6" t="s">
        <v>170</v>
      </c>
      <c r="L272" s="6" t="s">
        <v>175</v>
      </c>
      <c r="M272" s="6" t="s">
        <v>171</v>
      </c>
      <c r="N272" s="6" t="s">
        <v>145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 t="s">
        <v>201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19">
        <f>IFERROR(INDEX(#REF!,MATCH($D272,#REF!,"")),"")</f>
      </c>
      <c r="AL272" s="19">
        <f>IFERROR(INDEX(#REF!,MATCH($D272,#REF!,"")),"")</f>
      </c>
      <c r="AM272" s="19">
        <f>IFERROR(INDEX(#REF!,MATCH($D272,#REF!,"")),"")</f>
      </c>
      <c r="AN272" s="19">
        <f>IFERROR(INDEX(#REF!,MATCH($D272,#REF!,0)),"")</f>
      </c>
    </row>
    <row x14ac:dyDescent="0.25" r="273" customHeight="1" ht="18.75">
      <c r="A273" s="7">
        <v>101241830</v>
      </c>
      <c r="B273" s="8">
        <v>45917</v>
      </c>
      <c r="C273" s="9">
        <v>5.479166666666667</v>
      </c>
      <c r="D273" s="7">
        <v>113608</v>
      </c>
      <c r="E273" s="10">
        <v>22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19">
        <f>IFERROR(INDEX(#REF!,MATCH($D273,#REF!,"")),"")</f>
      </c>
      <c r="AL273" s="19">
        <f>IFERROR(INDEX(#REF!,MATCH($D273,#REF!,"")),"")</f>
      </c>
      <c r="AM273" s="19">
        <f>IFERROR(INDEX(#REF!,MATCH($D273,#REF!,"")),"")</f>
      </c>
      <c r="AN273" s="19">
        <f>IFERROR(INDEX(#REF!,MATCH($D273,#REF!,0)),"")</f>
      </c>
    </row>
    <row x14ac:dyDescent="0.25" r="274" customHeight="1" ht="18.75">
      <c r="A274" s="7">
        <v>101241831</v>
      </c>
      <c r="B274" s="8">
        <v>45917</v>
      </c>
      <c r="C274" s="9">
        <v>5.486111111111111</v>
      </c>
      <c r="D274" s="7">
        <v>102432</v>
      </c>
      <c r="E274" s="10">
        <v>174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19">
        <f>IFERROR(INDEX(#REF!,MATCH($D274,#REF!,"")),"")</f>
      </c>
      <c r="AL274" s="19">
        <f>IFERROR(INDEX(#REF!,MATCH($D274,#REF!,"")),"")</f>
      </c>
      <c r="AM274" s="19">
        <f>IFERROR(INDEX(#REF!,MATCH($D274,#REF!,"")),"")</f>
      </c>
      <c r="AN274" s="19">
        <f>IFERROR(INDEX(#REF!,MATCH($D274,#REF!,0)),"")</f>
      </c>
    </row>
    <row x14ac:dyDescent="0.25" r="275" customHeight="1" ht="18.75">
      <c r="A275" s="7">
        <v>101241833</v>
      </c>
      <c r="B275" s="8">
        <v>45917</v>
      </c>
      <c r="C275" s="9">
        <v>5.493055555555555</v>
      </c>
      <c r="D275" s="7">
        <v>102526</v>
      </c>
      <c r="E275" s="10">
        <v>36</v>
      </c>
      <c r="F275" s="6" t="s">
        <v>8</v>
      </c>
      <c r="G275" s="6"/>
      <c r="H275" s="6" t="s">
        <v>173</v>
      </c>
      <c r="I275" s="6" t="s">
        <v>163</v>
      </c>
      <c r="J275" s="6" t="s">
        <v>169</v>
      </c>
      <c r="K275" s="6" t="s">
        <v>170</v>
      </c>
      <c r="L275" s="6" t="s">
        <v>175</v>
      </c>
      <c r="M275" s="6" t="s">
        <v>171</v>
      </c>
      <c r="N275" s="6" t="s">
        <v>145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 t="s">
        <v>211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19">
        <f>IFERROR(INDEX(#REF!,MATCH($D275,#REF!,"")),"")</f>
      </c>
      <c r="AL275" s="19">
        <f>IFERROR(INDEX(#REF!,MATCH($D275,#REF!,"")),"")</f>
      </c>
      <c r="AM275" s="19">
        <f>IFERROR(INDEX(#REF!,MATCH($D275,#REF!,"")),"")</f>
      </c>
      <c r="AN275" s="19">
        <f>IFERROR(INDEX(#REF!,MATCH($D275,#REF!,0)),"")</f>
      </c>
    </row>
    <row x14ac:dyDescent="0.25" r="276" customHeight="1" ht="18.75">
      <c r="A276" s="7">
        <v>101241836</v>
      </c>
      <c r="B276" s="8">
        <v>45917</v>
      </c>
      <c r="C276" s="9">
        <v>5.513888888888889</v>
      </c>
      <c r="D276" s="7">
        <v>102246</v>
      </c>
      <c r="E276" s="10">
        <v>50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19">
        <f>IFERROR(INDEX(#REF!,MATCH($D276,#REF!,"")),"")</f>
      </c>
      <c r="AL276" s="19">
        <f>IFERROR(INDEX(#REF!,MATCH($D276,#REF!,"")),"")</f>
      </c>
      <c r="AM276" s="19">
        <f>IFERROR(INDEX(#REF!,MATCH($D276,#REF!,"")),"")</f>
      </c>
      <c r="AN276" s="19">
        <f>IFERROR(INDEX(#REF!,MATCH($D276,#REF!,0)),"")</f>
      </c>
    </row>
    <row x14ac:dyDescent="0.25" r="277" customHeight="1" ht="18.75">
      <c r="A277" s="7">
        <v>101241837</v>
      </c>
      <c r="B277" s="8">
        <v>45917</v>
      </c>
      <c r="C277" s="9">
        <v>5.583333333333333</v>
      </c>
      <c r="D277" s="7">
        <v>102546</v>
      </c>
      <c r="E277" s="10">
        <v>128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19">
        <f>IFERROR(INDEX(#REF!,MATCH($D277,#REF!,"")),"")</f>
      </c>
      <c r="AL277" s="19">
        <f>IFERROR(INDEX(#REF!,MATCH($D277,#REF!,"")),"")</f>
      </c>
      <c r="AM277" s="19">
        <f>IFERROR(INDEX(#REF!,MATCH($D277,#REF!,"")),"")</f>
      </c>
      <c r="AN277" s="19">
        <f>IFERROR(INDEX(#REF!,MATCH($D277,#REF!,0)),"")</f>
      </c>
    </row>
    <row x14ac:dyDescent="0.25" r="278" customHeight="1" ht="18.75">
      <c r="A278" s="7">
        <v>101242066</v>
      </c>
      <c r="B278" s="8">
        <v>45918</v>
      </c>
      <c r="C278" s="9">
        <v>5.375</v>
      </c>
      <c r="D278" s="7">
        <v>111412</v>
      </c>
      <c r="E278" s="10">
        <v>436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19">
        <f>IFERROR(INDEX(#REF!,MATCH($D278,#REF!,"")),"")</f>
      </c>
      <c r="AL278" s="19">
        <f>IFERROR(INDEX(#REF!,MATCH($D278,#REF!,"")),"")</f>
      </c>
      <c r="AM278" s="19">
        <f>IFERROR(INDEX(#REF!,MATCH($D278,#REF!,"")),"")</f>
      </c>
      <c r="AN278" s="19">
        <f>IFERROR(INDEX(#REF!,MATCH($D278,#REF!,0)),"")</f>
      </c>
    </row>
    <row x14ac:dyDescent="0.25" r="279" customHeight="1" ht="18.75">
      <c r="A279" s="7">
        <v>101241549</v>
      </c>
      <c r="B279" s="8">
        <v>45918</v>
      </c>
      <c r="C279" s="9">
        <v>5.395833333333333</v>
      </c>
      <c r="D279" s="7">
        <v>102457</v>
      </c>
      <c r="E279" s="10">
        <v>155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19">
        <f>IFERROR(INDEX(#REF!,MATCH($D279,#REF!,"")),"")</f>
      </c>
      <c r="AL279" s="19">
        <f>IFERROR(INDEX(#REF!,MATCH($D279,#REF!,"")),"")</f>
      </c>
      <c r="AM279" s="19">
        <f>IFERROR(INDEX(#REF!,MATCH($D279,#REF!,"")),"")</f>
      </c>
      <c r="AN279" s="19">
        <f>IFERROR(INDEX(#REF!,MATCH($D279,#REF!,0)),"")</f>
      </c>
    </row>
    <row x14ac:dyDescent="0.25" r="280" customHeight="1" ht="18.75">
      <c r="A280" s="7">
        <v>101242061</v>
      </c>
      <c r="B280" s="8">
        <v>45918</v>
      </c>
      <c r="C280" s="9">
        <v>5.402777777777778</v>
      </c>
      <c r="D280" s="7">
        <v>102542</v>
      </c>
      <c r="E280" s="10">
        <v>198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19">
        <f>IFERROR(INDEX(#REF!,MATCH($D280,#REF!,"")),"")</f>
      </c>
      <c r="AL280" s="19">
        <f>IFERROR(INDEX(#REF!,MATCH($D280,#REF!,"")),"")</f>
      </c>
      <c r="AM280" s="19">
        <f>IFERROR(INDEX(#REF!,MATCH($D280,#REF!,"")),"")</f>
      </c>
      <c r="AN280" s="19">
        <f>IFERROR(INDEX(#REF!,MATCH($D280,#REF!,0)),"")</f>
      </c>
    </row>
    <row x14ac:dyDescent="0.25" r="281" customHeight="1" ht="18.75">
      <c r="A281" s="7">
        <v>101242062</v>
      </c>
      <c r="B281" s="8">
        <v>45918</v>
      </c>
      <c r="C281" s="9">
        <v>5.409722222222222</v>
      </c>
      <c r="D281" s="7">
        <v>102589</v>
      </c>
      <c r="E281" s="10">
        <v>135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19">
        <f>IFERROR(INDEX(#REF!,MATCH($D281,#REF!,"")),"")</f>
      </c>
      <c r="AL281" s="19">
        <f>IFERROR(INDEX(#REF!,MATCH($D281,#REF!,"")),"")</f>
      </c>
      <c r="AM281" s="19">
        <f>IFERROR(INDEX(#REF!,MATCH($D281,#REF!,"")),"")</f>
      </c>
      <c r="AN281" s="19">
        <f>IFERROR(INDEX(#REF!,MATCH($D281,#REF!,0)),"")</f>
      </c>
    </row>
    <row x14ac:dyDescent="0.25" r="282" customHeight="1" ht="18.75">
      <c r="A282" s="7">
        <v>101242063</v>
      </c>
      <c r="B282" s="8">
        <v>45918</v>
      </c>
      <c r="C282" s="9">
        <v>5.416666666666667</v>
      </c>
      <c r="D282" s="7">
        <v>102226</v>
      </c>
      <c r="E282" s="10">
        <v>25</v>
      </c>
      <c r="F282" s="6" t="s">
        <v>8</v>
      </c>
      <c r="G282" s="6" t="s">
        <v>8</v>
      </c>
      <c r="H282" s="6" t="s">
        <v>18</v>
      </c>
      <c r="I282" s="6" t="s">
        <v>163</v>
      </c>
      <c r="J282" s="6" t="s">
        <v>169</v>
      </c>
      <c r="K282" s="6" t="s">
        <v>170</v>
      </c>
      <c r="L282" s="6" t="s">
        <v>175</v>
      </c>
      <c r="M282" s="6" t="s">
        <v>171</v>
      </c>
      <c r="N282" s="6" t="s">
        <v>145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 t="s">
        <v>201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19">
        <f>IFERROR(INDEX(#REF!,MATCH($D282,#REF!,"")),"")</f>
      </c>
      <c r="AL282" s="19">
        <f>IFERROR(INDEX(#REF!,MATCH($D282,#REF!,"")),"")</f>
      </c>
      <c r="AM282" s="19">
        <f>IFERROR(INDEX(#REF!,MATCH($D282,#REF!,"")),"")</f>
      </c>
      <c r="AN282" s="19">
        <f>IFERROR(INDEX(#REF!,MATCH($D282,#REF!,0)),"")</f>
      </c>
    </row>
    <row x14ac:dyDescent="0.25" r="283" customHeight="1" ht="18.75">
      <c r="A283" s="7">
        <v>101242064</v>
      </c>
      <c r="B283" s="8">
        <v>45918</v>
      </c>
      <c r="C283" s="9">
        <v>5.423611111111111</v>
      </c>
      <c r="D283" s="7">
        <v>102713</v>
      </c>
      <c r="E283" s="10">
        <v>248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19">
        <f>IFERROR(INDEX(#REF!,MATCH($D283,#REF!,"")),"")</f>
      </c>
      <c r="AL283" s="19">
        <f>IFERROR(INDEX(#REF!,MATCH($D283,#REF!,"")),"")</f>
      </c>
      <c r="AM283" s="19">
        <f>IFERROR(INDEX(#REF!,MATCH($D283,#REF!,"")),"")</f>
      </c>
      <c r="AN283" s="19">
        <f>IFERROR(INDEX(#REF!,MATCH($D283,#REF!,0)),"")</f>
      </c>
    </row>
    <row x14ac:dyDescent="0.25" r="284" customHeight="1" ht="18.75">
      <c r="A284" s="7">
        <v>101242065</v>
      </c>
      <c r="B284" s="8">
        <v>45918</v>
      </c>
      <c r="C284" s="9">
        <v>5.430555555555555</v>
      </c>
      <c r="D284" s="7">
        <v>109651</v>
      </c>
      <c r="E284" s="10">
        <v>101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19">
        <f>IFERROR(INDEX(#REF!,MATCH($D284,#REF!,"")),"")</f>
      </c>
      <c r="AL284" s="19">
        <f>IFERROR(INDEX(#REF!,MATCH($D284,#REF!,"")),"")</f>
      </c>
      <c r="AM284" s="19">
        <f>IFERROR(INDEX(#REF!,MATCH($D284,#REF!,"")),"")</f>
      </c>
      <c r="AN284" s="19">
        <f>IFERROR(INDEX(#REF!,MATCH($D284,#REF!,0)),"")</f>
      </c>
    </row>
    <row x14ac:dyDescent="0.25" r="285" customHeight="1" ht="18.75">
      <c r="A285" s="7">
        <v>101242067</v>
      </c>
      <c r="B285" s="8">
        <v>45918</v>
      </c>
      <c r="C285" s="9">
        <v>5.444444444444445</v>
      </c>
      <c r="D285" s="7">
        <v>117983</v>
      </c>
      <c r="E285" s="10">
        <v>457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19">
        <f>IFERROR(INDEX(#REF!,MATCH($D285,#REF!,"")),"")</f>
      </c>
      <c r="AL285" s="19">
        <f>IFERROR(INDEX(#REF!,MATCH($D285,#REF!,"")),"")</f>
      </c>
      <c r="AM285" s="19">
        <f>IFERROR(INDEX(#REF!,MATCH($D285,#REF!,"")),"")</f>
      </c>
      <c r="AN285" s="19">
        <f>IFERROR(INDEX(#REF!,MATCH($D285,#REF!,0)),"")</f>
      </c>
    </row>
    <row x14ac:dyDescent="0.25" r="286" customHeight="1" ht="18.75">
      <c r="A286" s="7">
        <v>101242069</v>
      </c>
      <c r="B286" s="8">
        <v>45918</v>
      </c>
      <c r="C286" s="9">
        <v>5.458333333333333</v>
      </c>
      <c r="D286" s="7">
        <v>102477</v>
      </c>
      <c r="E286" s="10">
        <v>83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19">
        <f>IFERROR(INDEX(#REF!,MATCH($D286,#REF!,"")),"")</f>
      </c>
      <c r="AL286" s="19">
        <f>IFERROR(INDEX(#REF!,MATCH($D286,#REF!,"")),"")</f>
      </c>
      <c r="AM286" s="19">
        <f>IFERROR(INDEX(#REF!,MATCH($D286,#REF!,"")),"")</f>
      </c>
      <c r="AN286" s="19">
        <f>IFERROR(INDEX(#REF!,MATCH($D286,#REF!,0)),"")</f>
      </c>
    </row>
    <row x14ac:dyDescent="0.25" r="287" customHeight="1" ht="18.75">
      <c r="A287" s="7">
        <v>101242070</v>
      </c>
      <c r="B287" s="8">
        <v>45918</v>
      </c>
      <c r="C287" s="9">
        <v>5.458333333333333</v>
      </c>
      <c r="D287" s="7">
        <v>114191</v>
      </c>
      <c r="E287" s="10">
        <v>64</v>
      </c>
      <c r="F287" s="6"/>
      <c r="G287" s="6" t="s">
        <v>8</v>
      </c>
      <c r="H287" s="6" t="s">
        <v>18</v>
      </c>
      <c r="I287" s="6" t="s">
        <v>176</v>
      </c>
      <c r="J287" s="6" t="s">
        <v>177</v>
      </c>
      <c r="K287" s="6" t="s">
        <v>178</v>
      </c>
      <c r="L287" s="6" t="s">
        <v>179</v>
      </c>
      <c r="M287" s="6" t="s">
        <v>203</v>
      </c>
      <c r="N287" s="6" t="s">
        <v>204</v>
      </c>
      <c r="O287" s="6" t="s">
        <v>189</v>
      </c>
      <c r="P287" s="6" t="s">
        <v>190</v>
      </c>
      <c r="Q287" s="6" t="s">
        <v>191</v>
      </c>
      <c r="R287" s="6" t="s">
        <v>192</v>
      </c>
      <c r="S287" s="6" t="s">
        <v>193</v>
      </c>
      <c r="T287" s="6" t="s">
        <v>194</v>
      </c>
      <c r="U287" s="6" t="s">
        <v>195</v>
      </c>
      <c r="V287" s="6"/>
      <c r="W287" s="6"/>
      <c r="X287" s="6"/>
      <c r="Y287" s="6"/>
      <c r="Z287" s="6"/>
      <c r="AA287" s="6" t="s">
        <v>212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19">
        <f>IFERROR(INDEX(#REF!,MATCH($D287,#REF!,"")),"")</f>
      </c>
      <c r="AL287" s="19">
        <f>IFERROR(INDEX(#REF!,MATCH($D287,#REF!,"")),"")</f>
      </c>
      <c r="AM287" s="19">
        <f>IFERROR(INDEX(#REF!,MATCH($D287,#REF!,"")),"")</f>
      </c>
      <c r="AN287" s="19">
        <f>IFERROR(INDEX(#REF!,MATCH($D287,#REF!,0)),"")</f>
      </c>
    </row>
    <row x14ac:dyDescent="0.25" r="288" customHeight="1" ht="18.75">
      <c r="A288" s="7">
        <v>101242071</v>
      </c>
      <c r="B288" s="8">
        <v>45918</v>
      </c>
      <c r="C288" s="9">
        <v>5.472222222222222</v>
      </c>
      <c r="D288" s="7">
        <v>124625</v>
      </c>
      <c r="E288" s="10">
        <v>67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19">
        <f>IFERROR(INDEX(#REF!,MATCH($D288,#REF!,"")),"")</f>
      </c>
      <c r="AL288" s="19">
        <f>IFERROR(INDEX(#REF!,MATCH($D288,#REF!,"")),"")</f>
      </c>
      <c r="AM288" s="19">
        <f>IFERROR(INDEX(#REF!,MATCH($D288,#REF!,"")),"")</f>
      </c>
      <c r="AN288" s="19">
        <f>IFERROR(INDEX(#REF!,MATCH($D288,#REF!,0)),"")</f>
      </c>
    </row>
    <row x14ac:dyDescent="0.25" r="289" customHeight="1" ht="18.75">
      <c r="A289" s="7">
        <v>101242072</v>
      </c>
      <c r="B289" s="8">
        <v>45918</v>
      </c>
      <c r="C289" s="9">
        <v>5.486111111111111</v>
      </c>
      <c r="D289" s="7">
        <v>118969</v>
      </c>
      <c r="E289" s="10">
        <v>119</v>
      </c>
      <c r="F289" s="6" t="s">
        <v>8</v>
      </c>
      <c r="G289" s="6"/>
      <c r="H289" s="6" t="s">
        <v>163</v>
      </c>
      <c r="I289" s="6" t="s">
        <v>169</v>
      </c>
      <c r="J289" s="6" t="s">
        <v>170</v>
      </c>
      <c r="K289" s="6" t="s">
        <v>175</v>
      </c>
      <c r="L289" s="6" t="s">
        <v>171</v>
      </c>
      <c r="M289" s="6" t="s">
        <v>145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 t="s">
        <v>12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19">
        <f>IFERROR(INDEX(#REF!,MATCH($D289,#REF!,"")),"")</f>
      </c>
      <c r="AL289" s="19">
        <f>IFERROR(INDEX(#REF!,MATCH($D289,#REF!,"")),"")</f>
      </c>
      <c r="AM289" s="19">
        <f>IFERROR(INDEX(#REF!,MATCH($D289,#REF!,"")),"")</f>
      </c>
      <c r="AN289" s="19">
        <f>IFERROR(INDEX(#REF!,MATCH($D289,#REF!,0)),"")</f>
      </c>
    </row>
    <row x14ac:dyDescent="0.25" r="290" customHeight="1" ht="18.75">
      <c r="A290" s="7">
        <v>101241568</v>
      </c>
      <c r="B290" s="8">
        <v>45918</v>
      </c>
      <c r="C290" s="9">
        <v>5.583333333333333</v>
      </c>
      <c r="D290" s="7">
        <v>112383</v>
      </c>
      <c r="E290" s="10">
        <v>109</v>
      </c>
      <c r="F290" s="6" t="s">
        <v>8</v>
      </c>
      <c r="G290" s="6"/>
      <c r="H290" s="6" t="s">
        <v>163</v>
      </c>
      <c r="I290" s="6" t="s">
        <v>169</v>
      </c>
      <c r="J290" s="6" t="s">
        <v>170</v>
      </c>
      <c r="K290" s="6" t="s">
        <v>171</v>
      </c>
      <c r="L290" s="6" t="s">
        <v>145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 t="s">
        <v>11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19">
        <f>IFERROR(INDEX(#REF!,MATCH($D290,#REF!,"")),"")</f>
      </c>
      <c r="AL290" s="19">
        <f>IFERROR(INDEX(#REF!,MATCH($D290,#REF!,"")),"")</f>
      </c>
      <c r="AM290" s="19">
        <f>IFERROR(INDEX(#REF!,MATCH($D290,#REF!,"")),"")</f>
      </c>
      <c r="AN290" s="19">
        <f>IFERROR(INDEX(#REF!,MATCH($D290,#REF!,0)),"")</f>
      </c>
    </row>
    <row x14ac:dyDescent="0.25" r="291" customHeight="1" ht="18.75">
      <c r="A291" s="7">
        <v>101242074</v>
      </c>
      <c r="B291" s="8">
        <v>45918</v>
      </c>
      <c r="C291" s="9">
        <v>5.590277777777778</v>
      </c>
      <c r="D291" s="7">
        <v>102730</v>
      </c>
      <c r="E291" s="10">
        <v>215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19">
        <f>IFERROR(INDEX(#REF!,MATCH($D291,#REF!,"")),"")</f>
      </c>
      <c r="AL291" s="19">
        <f>IFERROR(INDEX(#REF!,MATCH($D291,#REF!,"")),"")</f>
      </c>
      <c r="AM291" s="19">
        <f>IFERROR(INDEX(#REF!,MATCH($D291,#REF!,"")),"")</f>
      </c>
      <c r="AN291" s="19">
        <f>IFERROR(INDEX(#REF!,MATCH($D291,#REF!,0)),"")</f>
      </c>
    </row>
    <row x14ac:dyDescent="0.25" r="292" customHeight="1" ht="18.75">
      <c r="A292" s="7">
        <v>101242076</v>
      </c>
      <c r="B292" s="8">
        <v>45918</v>
      </c>
      <c r="C292" s="9">
        <v>5.604166666666667</v>
      </c>
      <c r="D292" s="7">
        <v>114716</v>
      </c>
      <c r="E292" s="10">
        <v>97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19">
        <f>IFERROR(INDEX(#REF!,MATCH($D292,#REF!,"")),"")</f>
      </c>
      <c r="AL292" s="19">
        <f>IFERROR(INDEX(#REF!,MATCH($D292,#REF!,"")),"")</f>
      </c>
      <c r="AM292" s="19">
        <f>IFERROR(INDEX(#REF!,MATCH($D292,#REF!,"")),"")</f>
      </c>
      <c r="AN292" s="19">
        <f>IFERROR(INDEX(#REF!,MATCH($D292,#REF!,0)),"")</f>
      </c>
    </row>
    <row x14ac:dyDescent="0.25" r="293" customHeight="1" ht="18.75">
      <c r="A293" s="7">
        <v>101242075</v>
      </c>
      <c r="B293" s="8">
        <v>45918</v>
      </c>
      <c r="C293" s="9">
        <v>5.645833333333333</v>
      </c>
      <c r="D293" s="7">
        <v>102316</v>
      </c>
      <c r="E293" s="10">
        <v>161</v>
      </c>
      <c r="F293" s="6"/>
      <c r="G293" s="6" t="s">
        <v>8</v>
      </c>
      <c r="H293" s="6" t="s">
        <v>18</v>
      </c>
      <c r="I293" s="6" t="s">
        <v>176</v>
      </c>
      <c r="J293" s="6" t="s">
        <v>177</v>
      </c>
      <c r="K293" s="6" t="s">
        <v>178</v>
      </c>
      <c r="L293" s="6" t="s">
        <v>179</v>
      </c>
      <c r="M293" s="6" t="s">
        <v>203</v>
      </c>
      <c r="N293" s="6" t="s">
        <v>204</v>
      </c>
      <c r="O293" s="6" t="s">
        <v>189</v>
      </c>
      <c r="P293" s="6" t="s">
        <v>190</v>
      </c>
      <c r="Q293" s="6" t="s">
        <v>191</v>
      </c>
      <c r="R293" s="6" t="s">
        <v>192</v>
      </c>
      <c r="S293" s="6" t="s">
        <v>193</v>
      </c>
      <c r="T293" s="6" t="s">
        <v>194</v>
      </c>
      <c r="U293" s="6" t="s">
        <v>195</v>
      </c>
      <c r="V293" s="6"/>
      <c r="W293" s="6"/>
      <c r="X293" s="6"/>
      <c r="Y293" s="6"/>
      <c r="Z293" s="6"/>
      <c r="AA293" s="6" t="s">
        <v>212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19">
        <f>IFERROR(INDEX(#REF!,MATCH($D293,#REF!,"")),"")</f>
      </c>
      <c r="AL293" s="19">
        <f>IFERROR(INDEX(#REF!,MATCH($D293,#REF!,"")),"")</f>
      </c>
      <c r="AM293" s="19">
        <f>IFERROR(INDEX(#REF!,MATCH($D293,#REF!,"")),"")</f>
      </c>
      <c r="AN293" s="19">
        <f>IFERROR(INDEX(#REF!,MATCH($D293,#REF!,0)),"")</f>
      </c>
    </row>
    <row x14ac:dyDescent="0.25" r="294" customHeight="1" ht="18.75">
      <c r="A294" s="7">
        <v>101283033</v>
      </c>
      <c r="B294" s="8">
        <v>45919</v>
      </c>
      <c r="C294" s="9">
        <v>5.375</v>
      </c>
      <c r="D294" s="7">
        <v>102376</v>
      </c>
      <c r="E294" s="10">
        <v>467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19">
        <f>IFERROR(INDEX(#REF!,MATCH($D294,#REF!,"")),"")</f>
      </c>
      <c r="AL294" s="19">
        <f>IFERROR(INDEX(#REF!,MATCH($D294,#REF!,"")),"")</f>
      </c>
      <c r="AM294" s="19">
        <f>IFERROR(INDEX(#REF!,MATCH($D294,#REF!,"")),"")</f>
      </c>
      <c r="AN294" s="19">
        <f>IFERROR(INDEX(#REF!,MATCH($D294,#REF!,0)),"")</f>
      </c>
    </row>
    <row x14ac:dyDescent="0.25" r="295" customHeight="1" ht="18.75">
      <c r="A295" s="7">
        <v>101242247</v>
      </c>
      <c r="B295" s="8">
        <v>45919</v>
      </c>
      <c r="C295" s="9">
        <v>5.375</v>
      </c>
      <c r="D295" s="7">
        <v>102673</v>
      </c>
      <c r="E295" s="10">
        <v>240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19">
        <f>IFERROR(INDEX(#REF!,MATCH($D295,#REF!,"")),"")</f>
      </c>
      <c r="AL295" s="19">
        <f>IFERROR(INDEX(#REF!,MATCH($D295,#REF!,"")),"")</f>
      </c>
      <c r="AM295" s="19">
        <f>IFERROR(INDEX(#REF!,MATCH($D295,#REF!,"")),"")</f>
      </c>
      <c r="AN295" s="19">
        <f>IFERROR(INDEX(#REF!,MATCH($D295,#REF!,0)),"")</f>
      </c>
    </row>
    <row x14ac:dyDescent="0.25" r="296" customHeight="1" ht="18.75">
      <c r="A296" s="7">
        <v>101242251</v>
      </c>
      <c r="B296" s="8">
        <v>45919</v>
      </c>
      <c r="C296" s="9">
        <v>5.402777777777778</v>
      </c>
      <c r="D296" s="7">
        <v>102405</v>
      </c>
      <c r="E296" s="10">
        <v>270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19">
        <f>IFERROR(INDEX(#REF!,MATCH($D296,#REF!,"")),"")</f>
      </c>
      <c r="AL296" s="19">
        <f>IFERROR(INDEX(#REF!,MATCH($D296,#REF!,"")),"")</f>
      </c>
      <c r="AM296" s="19">
        <f>IFERROR(INDEX(#REF!,MATCH($D296,#REF!,"")),"")</f>
      </c>
      <c r="AN296" s="19">
        <f>IFERROR(INDEX(#REF!,MATCH($D296,#REF!,0)),"")</f>
      </c>
    </row>
    <row x14ac:dyDescent="0.25" r="297" customHeight="1" ht="18.75">
      <c r="A297" s="7">
        <v>101242252</v>
      </c>
      <c r="B297" s="8">
        <v>45919</v>
      </c>
      <c r="C297" s="9">
        <v>5.409722222222222</v>
      </c>
      <c r="D297" s="7">
        <v>102205</v>
      </c>
      <c r="E297" s="10">
        <v>331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19">
        <f>IFERROR(INDEX(#REF!,MATCH($D297,#REF!,"")),"")</f>
      </c>
      <c r="AL297" s="19">
        <f>IFERROR(INDEX(#REF!,MATCH($D297,#REF!,"")),"")</f>
      </c>
      <c r="AM297" s="19">
        <f>IFERROR(INDEX(#REF!,MATCH($D297,#REF!,"")),"")</f>
      </c>
      <c r="AN297" s="19">
        <f>IFERROR(INDEX(#REF!,MATCH($D297,#REF!,0)),"")</f>
      </c>
    </row>
    <row x14ac:dyDescent="0.25" r="298" customHeight="1" ht="18.75">
      <c r="A298" s="7">
        <v>101242253</v>
      </c>
      <c r="B298" s="8">
        <v>45919</v>
      </c>
      <c r="C298" s="9">
        <v>5.416666666666667</v>
      </c>
      <c r="D298" s="7">
        <v>119016</v>
      </c>
      <c r="E298" s="10">
        <v>147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19">
        <f>IFERROR(INDEX(#REF!,MATCH($D298,#REF!,"")),"")</f>
      </c>
      <c r="AL298" s="19">
        <f>IFERROR(INDEX(#REF!,MATCH($D298,#REF!,"")),"")</f>
      </c>
      <c r="AM298" s="19">
        <f>IFERROR(INDEX(#REF!,MATCH($D298,#REF!,"")),"")</f>
      </c>
      <c r="AN298" s="19">
        <f>IFERROR(INDEX(#REF!,MATCH($D298,#REF!,0)),"")</f>
      </c>
    </row>
    <row x14ac:dyDescent="0.25" r="299" customHeight="1" ht="18.75">
      <c r="A299" s="7">
        <v>101243330</v>
      </c>
      <c r="B299" s="8">
        <v>45919</v>
      </c>
      <c r="C299" s="9">
        <v>5.416666666666667</v>
      </c>
      <c r="D299" s="7">
        <v>122221</v>
      </c>
      <c r="E299" s="10">
        <v>330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19">
        <f>IFERROR(INDEX(#REF!,MATCH($D299,#REF!,"")),"")</f>
      </c>
      <c r="AL299" s="19">
        <f>IFERROR(INDEX(#REF!,MATCH($D299,#REF!,"")),"")</f>
      </c>
      <c r="AM299" s="19">
        <f>IFERROR(INDEX(#REF!,MATCH($D299,#REF!,"")),"")</f>
      </c>
      <c r="AN299" s="19">
        <f>IFERROR(INDEX(#REF!,MATCH($D299,#REF!,0)),"")</f>
      </c>
    </row>
    <row x14ac:dyDescent="0.25" r="300" customHeight="1" ht="18.75">
      <c r="A300" s="7">
        <v>101242255</v>
      </c>
      <c r="B300" s="8">
        <v>45919</v>
      </c>
      <c r="C300" s="9">
        <v>5.430555555555555</v>
      </c>
      <c r="D300" s="7">
        <v>122655</v>
      </c>
      <c r="E300" s="10">
        <v>115</v>
      </c>
      <c r="F300" s="6" t="s">
        <v>8</v>
      </c>
      <c r="G300" s="6"/>
      <c r="H300" s="6" t="s">
        <v>163</v>
      </c>
      <c r="I300" s="6" t="s">
        <v>169</v>
      </c>
      <c r="J300" s="6" t="s">
        <v>170</v>
      </c>
      <c r="K300" s="6" t="s">
        <v>171</v>
      </c>
      <c r="L300" s="6" t="s">
        <v>145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 t="s">
        <v>11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19">
        <f>IFERROR(INDEX(#REF!,MATCH($D300,#REF!,"")),"")</f>
      </c>
      <c r="AL300" s="19">
        <f>IFERROR(INDEX(#REF!,MATCH($D300,#REF!,"")),"")</f>
      </c>
      <c r="AM300" s="19">
        <f>IFERROR(INDEX(#REF!,MATCH($D300,#REF!,"")),"")</f>
      </c>
      <c r="AN300" s="19">
        <f>IFERROR(INDEX(#REF!,MATCH($D300,#REF!,0)),"")</f>
      </c>
    </row>
    <row x14ac:dyDescent="0.25" r="301" customHeight="1" ht="18.75">
      <c r="A301" s="7">
        <v>101242257</v>
      </c>
      <c r="B301" s="8">
        <v>45919</v>
      </c>
      <c r="C301" s="9">
        <v>5.4375</v>
      </c>
      <c r="D301" s="7">
        <v>123286</v>
      </c>
      <c r="E301" s="10">
        <v>50</v>
      </c>
      <c r="F301" s="6"/>
      <c r="G301" s="6" t="s">
        <v>8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19">
        <f>IFERROR(INDEX(#REF!,MATCH($D301,#REF!,"")),"")</f>
      </c>
      <c r="AL301" s="19">
        <f>IFERROR(INDEX(#REF!,MATCH($D301,#REF!,"")),"")</f>
      </c>
      <c r="AM301" s="19">
        <f>IFERROR(INDEX(#REF!,MATCH($D301,#REF!,"")),"")</f>
      </c>
      <c r="AN301" s="19">
        <f>IFERROR(INDEX(#REF!,MATCH($D301,#REF!,0)),"")</f>
      </c>
    </row>
    <row x14ac:dyDescent="0.25" r="302" customHeight="1" ht="18.75">
      <c r="A302" s="7"/>
      <c r="B302" s="8"/>
      <c r="C302" s="9"/>
      <c r="D302" s="7"/>
      <c r="E302" s="1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</row>
    <row x14ac:dyDescent="0.25" r="303" customHeight="1" ht="18.75">
      <c r="A303" s="7">
        <v>101248187</v>
      </c>
      <c r="B303" s="8">
        <v>45922</v>
      </c>
      <c r="C303" s="9"/>
      <c r="D303" s="7">
        <v>102396</v>
      </c>
      <c r="E303" s="10">
        <v>194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19">
        <f>IFERROR(INDEX(#REF!,MATCH($D303,#REF!,"")),"")</f>
      </c>
      <c r="AL303" s="19">
        <f>IFERROR(INDEX(#REF!,MATCH($D303,#REF!,"")),"")</f>
      </c>
      <c r="AM303" s="19">
        <f>IFERROR(INDEX(#REF!,MATCH($D303,#REF!,"")),"")</f>
      </c>
      <c r="AN303" s="19">
        <f>IFERROR(INDEX(#REF!,MATCH($D303,#REF!,0)),"")</f>
      </c>
    </row>
    <row x14ac:dyDescent="0.25" r="304" customHeight="1" ht="18.75">
      <c r="A304" s="7">
        <v>101270684</v>
      </c>
      <c r="B304" s="8">
        <v>45922</v>
      </c>
      <c r="C304" s="9"/>
      <c r="D304" s="7">
        <v>102458</v>
      </c>
      <c r="E304" s="10">
        <v>103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19">
        <f>IFERROR(INDEX(#REF!,MATCH($D304,#REF!,"")),"")</f>
      </c>
      <c r="AL304" s="19">
        <f>IFERROR(INDEX(#REF!,MATCH($D304,#REF!,"")),"")</f>
      </c>
      <c r="AM304" s="19">
        <f>IFERROR(INDEX(#REF!,MATCH($D304,#REF!,"")),"")</f>
      </c>
      <c r="AN304" s="19">
        <f>IFERROR(INDEX(#REF!,MATCH($D304,#REF!,0)),"")</f>
      </c>
    </row>
    <row x14ac:dyDescent="0.25" r="305" customHeight="1" ht="18.75">
      <c r="A305" s="7">
        <v>101270685</v>
      </c>
      <c r="B305" s="8">
        <v>45922</v>
      </c>
      <c r="C305" s="9"/>
      <c r="D305" s="7">
        <v>102531</v>
      </c>
      <c r="E305" s="10">
        <v>117</v>
      </c>
      <c r="F305" s="6" t="s">
        <v>8</v>
      </c>
      <c r="G305" s="6"/>
      <c r="H305" s="6" t="s">
        <v>163</v>
      </c>
      <c r="I305" s="6" t="s">
        <v>169</v>
      </c>
      <c r="J305" s="6" t="s">
        <v>171</v>
      </c>
      <c r="K305" s="6" t="s">
        <v>145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 t="s">
        <v>213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19">
        <f>IFERROR(INDEX(#REF!,MATCH($D305,#REF!,"")),"")</f>
      </c>
      <c r="AL305" s="19">
        <f>IFERROR(INDEX(#REF!,MATCH($D305,#REF!,"")),"")</f>
      </c>
      <c r="AM305" s="19">
        <f>IFERROR(INDEX(#REF!,MATCH($D305,#REF!,"")),"")</f>
      </c>
      <c r="AN305" s="19">
        <f>IFERROR(INDEX(#REF!,MATCH($D305,#REF!,0)),"")</f>
      </c>
    </row>
    <row x14ac:dyDescent="0.25" r="306" customHeight="1" ht="18.75">
      <c r="A306" s="7">
        <v>101270688</v>
      </c>
      <c r="B306" s="8">
        <v>45922</v>
      </c>
      <c r="C306" s="9"/>
      <c r="D306" s="7">
        <v>102701</v>
      </c>
      <c r="E306" s="10">
        <v>270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19">
        <f>IFERROR(INDEX(#REF!,MATCH($D306,#REF!,"")),"")</f>
      </c>
      <c r="AL306" s="19">
        <f>IFERROR(INDEX(#REF!,MATCH($D306,#REF!,"")),"")</f>
      </c>
      <c r="AM306" s="19">
        <f>IFERROR(INDEX(#REF!,MATCH($D306,#REF!,"")),"")</f>
      </c>
      <c r="AN306" s="19">
        <f>IFERROR(INDEX(#REF!,MATCH($D306,#REF!,0)),"")</f>
      </c>
    </row>
    <row x14ac:dyDescent="0.25" r="307" customHeight="1" ht="18.75">
      <c r="A307" s="7">
        <v>101270690</v>
      </c>
      <c r="B307" s="8">
        <v>45922</v>
      </c>
      <c r="C307" s="9"/>
      <c r="D307" s="7">
        <v>109406</v>
      </c>
      <c r="E307" s="10">
        <v>313</v>
      </c>
      <c r="F307" s="6"/>
      <c r="G307" s="6"/>
      <c r="H307" s="6" t="s">
        <v>18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 t="s">
        <v>18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19">
        <f>IFERROR(INDEX(#REF!,MATCH($D307,#REF!,"")),"")</f>
      </c>
      <c r="AL307" s="19">
        <f>IFERROR(INDEX(#REF!,MATCH($D307,#REF!,"")),"")</f>
      </c>
      <c r="AM307" s="19">
        <f>IFERROR(INDEX(#REF!,MATCH($D307,#REF!,"")),"")</f>
      </c>
      <c r="AN307" s="19">
        <f>IFERROR(INDEX(#REF!,MATCH($D307,#REF!,0)),"")</f>
      </c>
    </row>
    <row x14ac:dyDescent="0.25" r="308" customHeight="1" ht="18.75">
      <c r="A308" s="7">
        <v>101270691</v>
      </c>
      <c r="B308" s="8">
        <v>45922</v>
      </c>
      <c r="C308" s="9"/>
      <c r="D308" s="7">
        <v>112392</v>
      </c>
      <c r="E308" s="10">
        <v>80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19">
        <f>IFERROR(INDEX(#REF!,MATCH($D308,#REF!,"")),"")</f>
      </c>
      <c r="AL308" s="19">
        <f>IFERROR(INDEX(#REF!,MATCH($D308,#REF!,"")),"")</f>
      </c>
      <c r="AM308" s="19">
        <f>IFERROR(INDEX(#REF!,MATCH($D308,#REF!,"")),"")</f>
      </c>
      <c r="AN308" s="19">
        <f>IFERROR(INDEX(#REF!,MATCH($D308,#REF!,0)),"")</f>
      </c>
    </row>
    <row x14ac:dyDescent="0.25" r="309" customHeight="1" ht="18.75">
      <c r="A309" s="7">
        <v>101242438</v>
      </c>
      <c r="B309" s="8">
        <v>45922</v>
      </c>
      <c r="C309" s="9">
        <v>5.361111111111111</v>
      </c>
      <c r="D309" s="7">
        <v>102175</v>
      </c>
      <c r="E309" s="10">
        <v>482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19">
        <f>IFERROR(INDEX(#REF!,MATCH($D309,#REF!,"")),"")</f>
      </c>
      <c r="AL309" s="19">
        <f>IFERROR(INDEX(#REF!,MATCH($D309,#REF!,"")),"")</f>
      </c>
      <c r="AM309" s="19">
        <f>IFERROR(INDEX(#REF!,MATCH($D309,#REF!,"")),"")</f>
      </c>
      <c r="AN309" s="19">
        <f>IFERROR(INDEX(#REF!,MATCH($D309,#REF!,0)),"")</f>
      </c>
    </row>
    <row x14ac:dyDescent="0.25" r="310" customHeight="1" ht="18.75">
      <c r="A310" s="7">
        <v>101242453</v>
      </c>
      <c r="B310" s="8">
        <v>45922</v>
      </c>
      <c r="C310" s="9">
        <v>5.361111111111111</v>
      </c>
      <c r="D310" s="7">
        <v>102568</v>
      </c>
      <c r="E310" s="10">
        <v>358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19">
        <f>IFERROR(INDEX(#REF!,MATCH($D310,#REF!,"")),"")</f>
      </c>
      <c r="AL310" s="19">
        <f>IFERROR(INDEX(#REF!,MATCH($D310,#REF!,"")),"")</f>
      </c>
      <c r="AM310" s="19">
        <f>IFERROR(INDEX(#REF!,MATCH($D310,#REF!,"")),"")</f>
      </c>
      <c r="AN310" s="19">
        <f>IFERROR(INDEX(#REF!,MATCH($D310,#REF!,0)),"")</f>
      </c>
    </row>
    <row x14ac:dyDescent="0.25" r="311" customHeight="1" ht="18.75">
      <c r="A311" s="7">
        <v>101242439</v>
      </c>
      <c r="B311" s="8">
        <v>45922</v>
      </c>
      <c r="C311" s="9">
        <v>5.368055555555555</v>
      </c>
      <c r="D311" s="7">
        <v>102651</v>
      </c>
      <c r="E311" s="10">
        <v>961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19">
        <f>IFERROR(INDEX(#REF!,MATCH($D311,#REF!,"")),"")</f>
      </c>
      <c r="AL311" s="19">
        <f>IFERROR(INDEX(#REF!,MATCH($D311,#REF!,"")),"")</f>
      </c>
      <c r="AM311" s="19">
        <f>IFERROR(INDEX(#REF!,MATCH($D311,#REF!,"")),"")</f>
      </c>
      <c r="AN311" s="19">
        <f>IFERROR(INDEX(#REF!,MATCH($D311,#REF!,0)),"")</f>
      </c>
    </row>
    <row x14ac:dyDescent="0.25" r="312" customHeight="1" ht="18.75">
      <c r="A312" s="7">
        <v>101242440</v>
      </c>
      <c r="B312" s="8">
        <v>45922</v>
      </c>
      <c r="C312" s="9">
        <v>5.375</v>
      </c>
      <c r="D312" s="7">
        <v>102652</v>
      </c>
      <c r="E312" s="10">
        <v>392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19">
        <f>IFERROR(INDEX(#REF!,MATCH($D312,#REF!,"")),"")</f>
      </c>
      <c r="AL312" s="19">
        <f>IFERROR(INDEX(#REF!,MATCH($D312,#REF!,"")),"")</f>
      </c>
      <c r="AM312" s="19">
        <f>IFERROR(INDEX(#REF!,MATCH($D312,#REF!,"")),"")</f>
      </c>
      <c r="AN312" s="19">
        <f>IFERROR(INDEX(#REF!,MATCH($D312,#REF!,0)),"")</f>
      </c>
    </row>
    <row x14ac:dyDescent="0.25" r="313" customHeight="1" ht="18.75">
      <c r="A313" s="7">
        <v>101242915</v>
      </c>
      <c r="B313" s="8">
        <v>45922</v>
      </c>
      <c r="C313" s="9">
        <v>5.388888888888889</v>
      </c>
      <c r="D313" s="7">
        <v>102725</v>
      </c>
      <c r="E313" s="10">
        <v>441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19">
        <f>IFERROR(INDEX(#REF!,MATCH($D313,#REF!,"")),"")</f>
      </c>
      <c r="AL313" s="19">
        <f>IFERROR(INDEX(#REF!,MATCH($D313,#REF!,"")),"")</f>
      </c>
      <c r="AM313" s="19">
        <f>IFERROR(INDEX(#REF!,MATCH($D313,#REF!,"")),"")</f>
      </c>
      <c r="AN313" s="19">
        <f>IFERROR(INDEX(#REF!,MATCH($D313,#REF!,0)),"")</f>
      </c>
    </row>
    <row x14ac:dyDescent="0.25" r="314" customHeight="1" ht="18.75">
      <c r="A314" s="7">
        <v>101242445</v>
      </c>
      <c r="B314" s="8">
        <v>45922</v>
      </c>
      <c r="C314" s="9">
        <v>5.409722222222222</v>
      </c>
      <c r="D314" s="7">
        <v>119014</v>
      </c>
      <c r="E314" s="10">
        <v>215</v>
      </c>
      <c r="F314" s="6"/>
      <c r="G314" s="6" t="s">
        <v>8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19">
        <f>IFERROR(INDEX(#REF!,MATCH($D314,#REF!,"")),"")</f>
      </c>
      <c r="AL314" s="19">
        <f>IFERROR(INDEX(#REF!,MATCH($D314,#REF!,"")),"")</f>
      </c>
      <c r="AM314" s="19">
        <f>IFERROR(INDEX(#REF!,MATCH($D314,#REF!,"")),"")</f>
      </c>
      <c r="AN314" s="19">
        <f>IFERROR(INDEX(#REF!,MATCH($D314,#REF!,0)),"")</f>
      </c>
    </row>
    <row x14ac:dyDescent="0.25" r="315" customHeight="1" ht="18.75">
      <c r="A315" s="7">
        <v>101242447</v>
      </c>
      <c r="B315" s="8">
        <v>45922</v>
      </c>
      <c r="C315" s="9">
        <v>5.423611111111111</v>
      </c>
      <c r="D315" s="7">
        <v>102286</v>
      </c>
      <c r="E315" s="10">
        <v>72</v>
      </c>
      <c r="F315" s="6" t="s">
        <v>8</v>
      </c>
      <c r="G315" s="6"/>
      <c r="H315" s="6" t="s">
        <v>18</v>
      </c>
      <c r="I315" s="6" t="s">
        <v>163</v>
      </c>
      <c r="J315" s="6" t="s">
        <v>169</v>
      </c>
      <c r="K315" s="6" t="s">
        <v>170</v>
      </c>
      <c r="L315" s="6" t="s">
        <v>175</v>
      </c>
      <c r="M315" s="6" t="s">
        <v>171</v>
      </c>
      <c r="N315" s="6" t="s">
        <v>145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 t="s">
        <v>201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19">
        <f>IFERROR(INDEX(#REF!,MATCH($D315,#REF!,"")),"")</f>
      </c>
      <c r="AL315" s="19">
        <f>IFERROR(INDEX(#REF!,MATCH($D315,#REF!,"")),"")</f>
      </c>
      <c r="AM315" s="19">
        <f>IFERROR(INDEX(#REF!,MATCH($D315,#REF!,"")),"")</f>
      </c>
      <c r="AN315" s="19">
        <f>IFERROR(INDEX(#REF!,MATCH($D315,#REF!,0)),"")</f>
      </c>
    </row>
    <row x14ac:dyDescent="0.25" r="316" customHeight="1" ht="18.75">
      <c r="A316" s="7">
        <v>101242451</v>
      </c>
      <c r="B316" s="8">
        <v>45922</v>
      </c>
      <c r="C316" s="9">
        <v>5.451388888888889</v>
      </c>
      <c r="D316" s="7">
        <v>102714</v>
      </c>
      <c r="E316" s="10">
        <v>416</v>
      </c>
      <c r="F316" s="6" t="s">
        <v>8</v>
      </c>
      <c r="G316" s="6" t="s">
        <v>8</v>
      </c>
      <c r="H316" s="6" t="s">
        <v>163</v>
      </c>
      <c r="I316" s="6" t="s">
        <v>73</v>
      </c>
      <c r="J316" s="6" t="s">
        <v>164</v>
      </c>
      <c r="K316" s="6" t="s">
        <v>165</v>
      </c>
      <c r="L316" s="6" t="s">
        <v>166</v>
      </c>
      <c r="M316" s="6" t="s">
        <v>14</v>
      </c>
      <c r="N316" s="6" t="s">
        <v>126</v>
      </c>
      <c r="O316" s="6" t="s">
        <v>15</v>
      </c>
      <c r="P316" s="6" t="s">
        <v>167</v>
      </c>
      <c r="Q316" s="6" t="s">
        <v>133</v>
      </c>
      <c r="R316" s="6" t="s">
        <v>168</v>
      </c>
      <c r="S316" s="6" t="s">
        <v>169</v>
      </c>
      <c r="T316" s="6" t="s">
        <v>170</v>
      </c>
      <c r="U316" s="6" t="s">
        <v>171</v>
      </c>
      <c r="V316" s="6" t="s">
        <v>145</v>
      </c>
      <c r="W316" s="6"/>
      <c r="X316" s="6"/>
      <c r="Y316" s="6"/>
      <c r="Z316" s="6"/>
      <c r="AA316" s="6" t="s">
        <v>172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19">
        <f>IFERROR(INDEX(#REF!,MATCH($D316,#REF!,"")),"")</f>
      </c>
      <c r="AL316" s="19">
        <f>IFERROR(INDEX(#REF!,MATCH($D316,#REF!,"")),"")</f>
      </c>
      <c r="AM316" s="19">
        <f>IFERROR(INDEX(#REF!,MATCH($D316,#REF!,"")),"")</f>
      </c>
      <c r="AN316" s="19">
        <f>IFERROR(INDEX(#REF!,MATCH($D316,#REF!,0)),"")</f>
      </c>
    </row>
    <row x14ac:dyDescent="0.25" r="317" customHeight="1" ht="18.75">
      <c r="A317" s="7">
        <v>101258448</v>
      </c>
      <c r="B317" s="8">
        <v>45923</v>
      </c>
      <c r="C317" s="9"/>
      <c r="D317" s="7">
        <v>102600</v>
      </c>
      <c r="E317" s="10">
        <v>46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19">
        <f>IFERROR(INDEX(#REF!,MATCH($D317,#REF!,"")),"")</f>
      </c>
      <c r="AL317" s="19">
        <f>IFERROR(INDEX(#REF!,MATCH($D317,#REF!,"")),"")</f>
      </c>
      <c r="AM317" s="19">
        <f>IFERROR(INDEX(#REF!,MATCH($D317,#REF!,"")),"")</f>
      </c>
      <c r="AN317" s="19">
        <f>IFERROR(INDEX(#REF!,MATCH($D317,#REF!,0)),"")</f>
      </c>
    </row>
    <row x14ac:dyDescent="0.25" r="318" customHeight="1" ht="18.75">
      <c r="A318" s="7">
        <v>101258451</v>
      </c>
      <c r="B318" s="8">
        <v>45923</v>
      </c>
      <c r="C318" s="9"/>
      <c r="D318" s="7">
        <v>102604</v>
      </c>
      <c r="E318" s="10">
        <v>42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19">
        <f>IFERROR(INDEX(#REF!,MATCH($D318,#REF!,"")),"")</f>
      </c>
      <c r="AL318" s="19">
        <f>IFERROR(INDEX(#REF!,MATCH($D318,#REF!,"")),"")</f>
      </c>
      <c r="AM318" s="19">
        <f>IFERROR(INDEX(#REF!,MATCH($D318,#REF!,"")),"")</f>
      </c>
      <c r="AN318" s="19">
        <f>IFERROR(INDEX(#REF!,MATCH($D318,#REF!,0)),"")</f>
      </c>
    </row>
    <row x14ac:dyDescent="0.25" r="319" customHeight="1" ht="18.75">
      <c r="A319" s="7">
        <v>101258452</v>
      </c>
      <c r="B319" s="8">
        <v>45923</v>
      </c>
      <c r="C319" s="9"/>
      <c r="D319" s="7">
        <v>102633</v>
      </c>
      <c r="E319" s="10">
        <v>115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19">
        <f>IFERROR(INDEX(#REF!,MATCH($D319,#REF!,"")),"")</f>
      </c>
      <c r="AL319" s="19">
        <f>IFERROR(INDEX(#REF!,MATCH($D319,#REF!,"")),"")</f>
      </c>
      <c r="AM319" s="19">
        <f>IFERROR(INDEX(#REF!,MATCH($D319,#REF!,"")),"")</f>
      </c>
      <c r="AN319" s="19">
        <f>IFERROR(INDEX(#REF!,MATCH($D319,#REF!,0)),"")</f>
      </c>
    </row>
    <row x14ac:dyDescent="0.25" r="320" customHeight="1" ht="18.75">
      <c r="A320" s="7">
        <v>101258454</v>
      </c>
      <c r="B320" s="8">
        <v>45923</v>
      </c>
      <c r="C320" s="9"/>
      <c r="D320" s="7">
        <v>102654</v>
      </c>
      <c r="E320" s="10">
        <v>57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19">
        <f>IFERROR(INDEX(#REF!,MATCH($D320,#REF!,"")),"")</f>
      </c>
      <c r="AL320" s="19">
        <f>IFERROR(INDEX(#REF!,MATCH($D320,#REF!,"")),"")</f>
      </c>
      <c r="AM320" s="19">
        <f>IFERROR(INDEX(#REF!,MATCH($D320,#REF!,"")),"")</f>
      </c>
      <c r="AN320" s="19">
        <f>IFERROR(INDEX(#REF!,MATCH($D320,#REF!,0)),"")</f>
      </c>
    </row>
    <row x14ac:dyDescent="0.25" r="321" customHeight="1" ht="18.75">
      <c r="A321" s="7">
        <v>101258455</v>
      </c>
      <c r="B321" s="8">
        <v>45923</v>
      </c>
      <c r="C321" s="9"/>
      <c r="D321" s="7">
        <v>102720</v>
      </c>
      <c r="E321" s="10">
        <v>132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19">
        <f>IFERROR(INDEX(#REF!,MATCH($D321,#REF!,"")),"")</f>
      </c>
      <c r="AL321" s="19">
        <f>IFERROR(INDEX(#REF!,MATCH($D321,#REF!,"")),"")</f>
      </c>
      <c r="AM321" s="19">
        <f>IFERROR(INDEX(#REF!,MATCH($D321,#REF!,"")),"")</f>
      </c>
      <c r="AN321" s="19">
        <f>IFERROR(INDEX(#REF!,MATCH($D321,#REF!,0)),"")</f>
      </c>
    </row>
    <row x14ac:dyDescent="0.25" r="322" customHeight="1" ht="18.75">
      <c r="A322" s="7">
        <v>101258456</v>
      </c>
      <c r="B322" s="8">
        <v>45923</v>
      </c>
      <c r="C322" s="9"/>
      <c r="D322" s="7">
        <v>102721</v>
      </c>
      <c r="E322" s="10">
        <v>36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19">
        <f>IFERROR(INDEX(#REF!,MATCH($D322,#REF!,"")),"")</f>
      </c>
      <c r="AL322" s="19">
        <f>IFERROR(INDEX(#REF!,MATCH($D322,#REF!,"")),"")</f>
      </c>
      <c r="AM322" s="19">
        <f>IFERROR(INDEX(#REF!,MATCH($D322,#REF!,"")),"")</f>
      </c>
      <c r="AN322" s="19">
        <f>IFERROR(INDEX(#REF!,MATCH($D322,#REF!,0)),"")</f>
      </c>
    </row>
    <row x14ac:dyDescent="0.25" r="323" customHeight="1" ht="18.75">
      <c r="A323" s="7">
        <v>101258457</v>
      </c>
      <c r="B323" s="8">
        <v>45923</v>
      </c>
      <c r="C323" s="9"/>
      <c r="D323" s="7">
        <v>109652</v>
      </c>
      <c r="E323" s="10">
        <v>136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19">
        <f>IFERROR(INDEX(#REF!,MATCH($D323,#REF!,"")),"")</f>
      </c>
      <c r="AL323" s="19">
        <f>IFERROR(INDEX(#REF!,MATCH($D323,#REF!,"")),"")</f>
      </c>
      <c r="AM323" s="19">
        <f>IFERROR(INDEX(#REF!,MATCH($D323,#REF!,"")),"")</f>
      </c>
      <c r="AN323" s="19">
        <f>IFERROR(INDEX(#REF!,MATCH($D323,#REF!,0)),"")</f>
      </c>
    </row>
    <row x14ac:dyDescent="0.25" r="324" customHeight="1" ht="18.75">
      <c r="A324" s="7">
        <v>101258459</v>
      </c>
      <c r="B324" s="8">
        <v>45923</v>
      </c>
      <c r="C324" s="9"/>
      <c r="D324" s="7">
        <v>118998</v>
      </c>
      <c r="E324" s="10">
        <v>98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19">
        <f>IFERROR(INDEX(#REF!,MATCH($D324,#REF!,"")),"")</f>
      </c>
      <c r="AL324" s="19">
        <f>IFERROR(INDEX(#REF!,MATCH($D324,#REF!,"")),"")</f>
      </c>
      <c r="AM324" s="19">
        <f>IFERROR(INDEX(#REF!,MATCH($D324,#REF!,"")),"")</f>
      </c>
      <c r="AN324" s="19">
        <f>IFERROR(INDEX(#REF!,MATCH($D324,#REF!,0)),"")</f>
      </c>
    </row>
    <row x14ac:dyDescent="0.25" r="325" customHeight="1" ht="18.75">
      <c r="A325" s="7">
        <v>101258461</v>
      </c>
      <c r="B325" s="8">
        <v>45923</v>
      </c>
      <c r="C325" s="9"/>
      <c r="D325" s="7">
        <v>124221</v>
      </c>
      <c r="E325" s="10">
        <v>43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19">
        <f>IFERROR(INDEX(#REF!,MATCH($D325,#REF!,"")),"")</f>
      </c>
      <c r="AL325" s="19">
        <f>IFERROR(INDEX(#REF!,MATCH($D325,#REF!,"")),"")</f>
      </c>
      <c r="AM325" s="19">
        <f>IFERROR(INDEX(#REF!,MATCH($D325,#REF!,"")),"")</f>
      </c>
      <c r="AN325" s="19">
        <f>IFERROR(INDEX(#REF!,MATCH($D325,#REF!,0)),"")</f>
      </c>
    </row>
    <row x14ac:dyDescent="0.25" r="326" customHeight="1" ht="18.75">
      <c r="A326" s="7">
        <v>101258463</v>
      </c>
      <c r="B326" s="8">
        <v>45923</v>
      </c>
      <c r="C326" s="9">
        <v>5.006944444444445</v>
      </c>
      <c r="D326" s="7">
        <v>102656</v>
      </c>
      <c r="E326" s="10">
        <v>44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19">
        <f>IFERROR(INDEX(#REF!,MATCH($D326,#REF!,"")),"")</f>
      </c>
      <c r="AL326" s="19">
        <f>IFERROR(INDEX(#REF!,MATCH($D326,#REF!,"")),"")</f>
      </c>
      <c r="AM326" s="19">
        <f>IFERROR(INDEX(#REF!,MATCH($D326,#REF!,"")),"")</f>
      </c>
      <c r="AN326" s="19">
        <f>IFERROR(INDEX(#REF!,MATCH($D326,#REF!,0)),"")</f>
      </c>
    </row>
    <row x14ac:dyDescent="0.25" r="327" customHeight="1" ht="18.75">
      <c r="A327" s="7">
        <v>101258464</v>
      </c>
      <c r="B327" s="8">
        <v>45923</v>
      </c>
      <c r="C327" s="9">
        <v>5.006944444444445</v>
      </c>
      <c r="D327" s="7">
        <v>102670</v>
      </c>
      <c r="E327" s="10">
        <v>171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19">
        <f>IFERROR(INDEX(#REF!,MATCH($D327,#REF!,"")),"")</f>
      </c>
      <c r="AL327" s="19">
        <f>IFERROR(INDEX(#REF!,MATCH($D327,#REF!,"")),"")</f>
      </c>
      <c r="AM327" s="19">
        <f>IFERROR(INDEX(#REF!,MATCH($D327,#REF!,"")),"")</f>
      </c>
      <c r="AN327" s="19">
        <f>IFERROR(INDEX(#REF!,MATCH($D327,#REF!,0)),"")</f>
      </c>
    </row>
    <row x14ac:dyDescent="0.25" r="328" customHeight="1" ht="18.75">
      <c r="A328" s="7">
        <v>101258465</v>
      </c>
      <c r="B328" s="8">
        <v>45923</v>
      </c>
      <c r="C328" s="9">
        <v>5.006944444444445</v>
      </c>
      <c r="D328" s="7">
        <v>102722</v>
      </c>
      <c r="E328" s="10">
        <v>169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19">
        <f>IFERROR(INDEX(#REF!,MATCH($D328,#REF!,"")),"")</f>
      </c>
      <c r="AL328" s="19">
        <f>IFERROR(INDEX(#REF!,MATCH($D328,#REF!,"")),"")</f>
      </c>
      <c r="AM328" s="19">
        <f>IFERROR(INDEX(#REF!,MATCH($D328,#REF!,"")),"")</f>
      </c>
      <c r="AN328" s="19">
        <f>IFERROR(INDEX(#REF!,MATCH($D328,#REF!,0)),"")</f>
      </c>
    </row>
    <row x14ac:dyDescent="0.25" r="329" customHeight="1" ht="18.75">
      <c r="A329" s="7">
        <v>101258466</v>
      </c>
      <c r="B329" s="8">
        <v>45923</v>
      </c>
      <c r="C329" s="9">
        <v>5.006944444444445</v>
      </c>
      <c r="D329" s="7">
        <v>109425</v>
      </c>
      <c r="E329" s="10">
        <v>129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19">
        <f>IFERROR(INDEX(#REF!,MATCH($D329,#REF!,"")),"")</f>
      </c>
      <c r="AL329" s="19">
        <f>IFERROR(INDEX(#REF!,MATCH($D329,#REF!,"")),"")</f>
      </c>
      <c r="AM329" s="19">
        <f>IFERROR(INDEX(#REF!,MATCH($D329,#REF!,"")),"")</f>
      </c>
      <c r="AN329" s="19">
        <f>IFERROR(INDEX(#REF!,MATCH($D329,#REF!,0)),"")</f>
      </c>
    </row>
    <row x14ac:dyDescent="0.25" r="330" customHeight="1" ht="18.75">
      <c r="A330" s="7">
        <v>101258469</v>
      </c>
      <c r="B330" s="8">
        <v>45923</v>
      </c>
      <c r="C330" s="9">
        <v>5.006944444444445</v>
      </c>
      <c r="D330" s="7">
        <v>119618</v>
      </c>
      <c r="E330" s="10">
        <v>308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19">
        <f>IFERROR(INDEX(#REF!,MATCH($D330,#REF!,"")),"")</f>
      </c>
      <c r="AL330" s="19">
        <f>IFERROR(INDEX(#REF!,MATCH($D330,#REF!,"")),"")</f>
      </c>
      <c r="AM330" s="19">
        <f>IFERROR(INDEX(#REF!,MATCH($D330,#REF!,"")),"")</f>
      </c>
      <c r="AN330" s="19">
        <f>IFERROR(INDEX(#REF!,MATCH($D330,#REF!,0)),"")</f>
      </c>
    </row>
    <row x14ac:dyDescent="0.25" r="331" customHeight="1" ht="18.75">
      <c r="A331" s="7">
        <v>101258470</v>
      </c>
      <c r="B331" s="8">
        <v>45923</v>
      </c>
      <c r="C331" s="9">
        <v>5.006944444444445</v>
      </c>
      <c r="D331" s="7">
        <v>120295</v>
      </c>
      <c r="E331" s="10">
        <v>615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19">
        <f>IFERROR(INDEX(#REF!,MATCH($D331,#REF!,"")),"")</f>
      </c>
      <c r="AL331" s="19">
        <f>IFERROR(INDEX(#REF!,MATCH($D331,#REF!,"")),"")</f>
      </c>
      <c r="AM331" s="19">
        <f>IFERROR(INDEX(#REF!,MATCH($D331,#REF!,"")),"")</f>
      </c>
      <c r="AN331" s="19">
        <f>IFERROR(INDEX(#REF!,MATCH($D331,#REF!,0)),"")</f>
      </c>
    </row>
    <row x14ac:dyDescent="0.25" r="332" customHeight="1" ht="18.75">
      <c r="A332" s="7">
        <v>101258471</v>
      </c>
      <c r="B332" s="8">
        <v>45923</v>
      </c>
      <c r="C332" s="9">
        <v>5.006944444444445</v>
      </c>
      <c r="D332" s="7">
        <v>123368</v>
      </c>
      <c r="E332" s="10">
        <v>266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19">
        <f>IFERROR(INDEX(#REF!,MATCH($D332,#REF!,"")),"")</f>
      </c>
      <c r="AL332" s="19">
        <f>IFERROR(INDEX(#REF!,MATCH($D332,#REF!,"")),"")</f>
      </c>
      <c r="AM332" s="19">
        <f>IFERROR(INDEX(#REF!,MATCH($D332,#REF!,"")),"")</f>
      </c>
      <c r="AN332" s="19">
        <f>IFERROR(INDEX(#REF!,MATCH($D332,#REF!,0)),"")</f>
      </c>
    </row>
    <row x14ac:dyDescent="0.25" r="333" customHeight="1" ht="18.75">
      <c r="A333" s="7">
        <v>101258472</v>
      </c>
      <c r="B333" s="8">
        <v>45923</v>
      </c>
      <c r="C333" s="9">
        <v>5.006944444444445</v>
      </c>
      <c r="D333" s="7">
        <v>124552</v>
      </c>
      <c r="E333" s="10">
        <v>217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19">
        <f>IFERROR(INDEX(#REF!,MATCH($D333,#REF!,"")),"")</f>
      </c>
      <c r="AL333" s="19">
        <f>IFERROR(INDEX(#REF!,MATCH($D333,#REF!,"")),"")</f>
      </c>
      <c r="AM333" s="19">
        <f>IFERROR(INDEX(#REF!,MATCH($D333,#REF!,"")),"")</f>
      </c>
      <c r="AN333" s="19">
        <f>IFERROR(INDEX(#REF!,MATCH($D333,#REF!,0)),"")</f>
      </c>
    </row>
    <row x14ac:dyDescent="0.25" r="334" customHeight="1" ht="18.75">
      <c r="A334" s="7">
        <v>101242673</v>
      </c>
      <c r="B334" s="8">
        <v>45923</v>
      </c>
      <c r="C334" s="9">
        <v>5.361111111111111</v>
      </c>
      <c r="D334" s="7">
        <v>102711</v>
      </c>
      <c r="E334" s="10">
        <v>149</v>
      </c>
      <c r="F334" s="6"/>
      <c r="G334" s="6"/>
      <c r="H334" s="6" t="s">
        <v>18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 t="s">
        <v>18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19">
        <f>IFERROR(INDEX(#REF!,MATCH($D334,#REF!,"")),"")</f>
      </c>
      <c r="AL334" s="19">
        <f>IFERROR(INDEX(#REF!,MATCH($D334,#REF!,"")),"")</f>
      </c>
      <c r="AM334" s="19">
        <f>IFERROR(INDEX(#REF!,MATCH($D334,#REF!,"")),"")</f>
      </c>
      <c r="AN334" s="19">
        <f>IFERROR(INDEX(#REF!,MATCH($D334,#REF!,0)),"")</f>
      </c>
    </row>
    <row x14ac:dyDescent="0.25" r="335" customHeight="1" ht="18.75">
      <c r="A335" s="7">
        <v>101242677</v>
      </c>
      <c r="B335" s="8">
        <v>45923</v>
      </c>
      <c r="C335" s="9">
        <v>5.388888888888889</v>
      </c>
      <c r="D335" s="7">
        <v>102610</v>
      </c>
      <c r="E335" s="10">
        <v>61</v>
      </c>
      <c r="F335" s="6"/>
      <c r="G335" s="6"/>
      <c r="H335" s="6" t="s">
        <v>18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 t="s">
        <v>18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19">
        <f>IFERROR(INDEX(#REF!,MATCH($D335,#REF!,"")),"")</f>
      </c>
      <c r="AL335" s="19">
        <f>IFERROR(INDEX(#REF!,MATCH($D335,#REF!,"")),"")</f>
      </c>
      <c r="AM335" s="19">
        <f>IFERROR(INDEX(#REF!,MATCH($D335,#REF!,"")),"")</f>
      </c>
      <c r="AN335" s="19">
        <f>IFERROR(INDEX(#REF!,MATCH($D335,#REF!,0)),"")</f>
      </c>
    </row>
    <row x14ac:dyDescent="0.25" r="336" customHeight="1" ht="18.75">
      <c r="A336" s="7">
        <v>101242679</v>
      </c>
      <c r="B336" s="8">
        <v>45923</v>
      </c>
      <c r="C336" s="9">
        <v>5.402777777777778</v>
      </c>
      <c r="D336" s="7">
        <v>119201</v>
      </c>
      <c r="E336" s="10">
        <v>180</v>
      </c>
      <c r="F336" s="6"/>
      <c r="G336" s="6"/>
      <c r="H336" s="6" t="s">
        <v>18</v>
      </c>
      <c r="I336" s="6" t="s">
        <v>173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 t="s">
        <v>174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19">
        <f>IFERROR(INDEX(#REF!,MATCH($D336,#REF!,"")),"")</f>
      </c>
      <c r="AL336" s="19">
        <f>IFERROR(INDEX(#REF!,MATCH($D336,#REF!,"")),"")</f>
      </c>
      <c r="AM336" s="19">
        <f>IFERROR(INDEX(#REF!,MATCH($D336,#REF!,"")),"")</f>
      </c>
      <c r="AN336" s="19">
        <f>IFERROR(INDEX(#REF!,MATCH($D336,#REF!,0)),"")</f>
      </c>
    </row>
    <row x14ac:dyDescent="0.25" r="337" customHeight="1" ht="18.75">
      <c r="A337" s="7">
        <v>101242680</v>
      </c>
      <c r="B337" s="8">
        <v>45923</v>
      </c>
      <c r="C337" s="9">
        <v>5.409722222222222</v>
      </c>
      <c r="D337" s="7">
        <v>102544</v>
      </c>
      <c r="E337" s="10">
        <v>165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19">
        <f>IFERROR(INDEX(#REF!,MATCH($D337,#REF!,"")),"")</f>
      </c>
      <c r="AL337" s="19">
        <f>IFERROR(INDEX(#REF!,MATCH($D337,#REF!,"")),"")</f>
      </c>
      <c r="AM337" s="19">
        <f>IFERROR(INDEX(#REF!,MATCH($D337,#REF!,"")),"")</f>
      </c>
      <c r="AN337" s="19">
        <f>IFERROR(INDEX(#REF!,MATCH($D337,#REF!,0)),"")</f>
      </c>
    </row>
    <row x14ac:dyDescent="0.25" r="338" customHeight="1" ht="18.75">
      <c r="A338" s="7">
        <v>101242682</v>
      </c>
      <c r="B338" s="8">
        <v>45923</v>
      </c>
      <c r="C338" s="9">
        <v>5.423611111111111</v>
      </c>
      <c r="D338" s="7">
        <v>102564</v>
      </c>
      <c r="E338" s="10">
        <v>557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19">
        <f>IFERROR(INDEX(#REF!,MATCH($D338,#REF!,"")),"")</f>
      </c>
      <c r="AL338" s="19">
        <f>IFERROR(INDEX(#REF!,MATCH($D338,#REF!,"")),"")</f>
      </c>
      <c r="AM338" s="19">
        <f>IFERROR(INDEX(#REF!,MATCH($D338,#REF!,"")),"")</f>
      </c>
      <c r="AN338" s="19">
        <f>IFERROR(INDEX(#REF!,MATCH($D338,#REF!,0)),"")</f>
      </c>
    </row>
    <row x14ac:dyDescent="0.25" r="339" customHeight="1" ht="18.75">
      <c r="A339" s="7">
        <v>101242688</v>
      </c>
      <c r="B339" s="8">
        <v>45923</v>
      </c>
      <c r="C339" s="9">
        <v>5.465277777777778</v>
      </c>
      <c r="D339" s="7">
        <v>118398</v>
      </c>
      <c r="E339" s="10">
        <v>457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19">
        <f>IFERROR(INDEX(#REF!,MATCH($D339,#REF!,"")),"")</f>
      </c>
      <c r="AL339" s="19">
        <f>IFERROR(INDEX(#REF!,MATCH($D339,#REF!,"")),"")</f>
      </c>
      <c r="AM339" s="19">
        <f>IFERROR(INDEX(#REF!,MATCH($D339,#REF!,"")),"")</f>
      </c>
      <c r="AN339" s="19">
        <f>IFERROR(INDEX(#REF!,MATCH($D339,#REF!,0)),"")</f>
      </c>
    </row>
    <row x14ac:dyDescent="0.25" r="340" customHeight="1" ht="18.75">
      <c r="A340" s="7">
        <v>101238791</v>
      </c>
      <c r="B340" s="8">
        <v>45923</v>
      </c>
      <c r="C340" s="9">
        <v>5.479166666666667</v>
      </c>
      <c r="D340" s="7">
        <v>102327</v>
      </c>
      <c r="E340" s="10">
        <v>501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19">
        <f>IFERROR(INDEX(#REF!,MATCH($D340,#REF!,"")),"")</f>
      </c>
      <c r="AL340" s="19">
        <f>IFERROR(INDEX(#REF!,MATCH($D340,#REF!,"")),"")</f>
      </c>
      <c r="AM340" s="19">
        <f>IFERROR(INDEX(#REF!,MATCH($D340,#REF!,"")),"")</f>
      </c>
      <c r="AN340" s="19">
        <f>IFERROR(INDEX(#REF!,MATCH($D340,#REF!,0)),"")</f>
      </c>
    </row>
    <row x14ac:dyDescent="0.25" r="341" customHeight="1" ht="18.75">
      <c r="A341" s="7">
        <v>101242690</v>
      </c>
      <c r="B341" s="8">
        <v>45923</v>
      </c>
      <c r="C341" s="9">
        <v>5.479166666666667</v>
      </c>
      <c r="D341" s="7">
        <v>117815</v>
      </c>
      <c r="E341" s="10">
        <v>390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19">
        <f>IFERROR(INDEX(#REF!,MATCH($D341,#REF!,"")),"")</f>
      </c>
      <c r="AL341" s="19">
        <f>IFERROR(INDEX(#REF!,MATCH($D341,#REF!,"")),"")</f>
      </c>
      <c r="AM341" s="19">
        <f>IFERROR(INDEX(#REF!,MATCH($D341,#REF!,"")),"")</f>
      </c>
      <c r="AN341" s="19">
        <f>IFERROR(INDEX(#REF!,MATCH($D341,#REF!,0)),"")</f>
      </c>
    </row>
    <row x14ac:dyDescent="0.25" r="342" customHeight="1" ht="18.75">
      <c r="A342" s="7">
        <v>101242691</v>
      </c>
      <c r="B342" s="8">
        <v>45923</v>
      </c>
      <c r="C342" s="9">
        <v>5.486111111111111</v>
      </c>
      <c r="D342" s="7">
        <v>124595</v>
      </c>
      <c r="E342" s="10">
        <v>161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19">
        <f>IFERROR(INDEX(#REF!,MATCH($D342,#REF!,"")),"")</f>
      </c>
      <c r="AL342" s="19">
        <f>IFERROR(INDEX(#REF!,MATCH($D342,#REF!,"")),"")</f>
      </c>
      <c r="AM342" s="19">
        <f>IFERROR(INDEX(#REF!,MATCH($D342,#REF!,"")),"")</f>
      </c>
      <c r="AN342" s="19">
        <f>IFERROR(INDEX(#REF!,MATCH($D342,#REF!,0)),"")</f>
      </c>
    </row>
    <row x14ac:dyDescent="0.25" r="343" customHeight="1" ht="18.75">
      <c r="A343" s="7">
        <v>101242692</v>
      </c>
      <c r="B343" s="8">
        <v>45923</v>
      </c>
      <c r="C343" s="9">
        <v>5.493055555555555</v>
      </c>
      <c r="D343" s="7">
        <v>124678</v>
      </c>
      <c r="E343" s="10">
        <v>20</v>
      </c>
      <c r="F343" s="6" t="s">
        <v>8</v>
      </c>
      <c r="G343" s="6"/>
      <c r="H343" s="6" t="s">
        <v>163</v>
      </c>
      <c r="I343" s="6" t="s">
        <v>169</v>
      </c>
      <c r="J343" s="6" t="s">
        <v>170</v>
      </c>
      <c r="K343" s="6" t="s">
        <v>171</v>
      </c>
      <c r="L343" s="6" t="s">
        <v>145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 t="s">
        <v>11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19">
        <f>IFERROR(INDEX(#REF!,MATCH($D343,#REF!,"")),"")</f>
      </c>
      <c r="AL343" s="19">
        <f>IFERROR(INDEX(#REF!,MATCH($D343,#REF!,"")),"")</f>
      </c>
      <c r="AM343" s="19">
        <f>IFERROR(INDEX(#REF!,MATCH($D343,#REF!,"")),"")</f>
      </c>
      <c r="AN343" s="19">
        <f>IFERROR(INDEX(#REF!,MATCH($D343,#REF!,0)),"")</f>
      </c>
    </row>
    <row x14ac:dyDescent="0.25" r="344" customHeight="1" ht="18.75">
      <c r="A344" s="7">
        <v>101242911</v>
      </c>
      <c r="B344" s="8">
        <v>45924</v>
      </c>
      <c r="C344" s="9">
        <v>5.361111111111111</v>
      </c>
      <c r="D344" s="7">
        <v>102264</v>
      </c>
      <c r="E344" s="10">
        <v>104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19">
        <f>IFERROR(INDEX(#REF!,MATCH($D344,#REF!,"")),"")</f>
      </c>
      <c r="AL344" s="19">
        <f>IFERROR(INDEX(#REF!,MATCH($D344,#REF!,"")),"")</f>
      </c>
      <c r="AM344" s="19">
        <f>IFERROR(INDEX(#REF!,MATCH($D344,#REF!,"")),"")</f>
      </c>
      <c r="AN344" s="19">
        <f>IFERROR(INDEX(#REF!,MATCH($D344,#REF!,0)),"")</f>
      </c>
    </row>
    <row x14ac:dyDescent="0.25" r="345" customHeight="1" ht="18.75">
      <c r="A345" s="7">
        <v>101243131</v>
      </c>
      <c r="B345" s="8">
        <v>45924</v>
      </c>
      <c r="C345" s="9">
        <v>5.368055555555555</v>
      </c>
      <c r="D345" s="7">
        <v>102384</v>
      </c>
      <c r="E345" s="10">
        <v>83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19">
        <f>IFERROR(INDEX(#REF!,MATCH($D345,#REF!,"")),"")</f>
      </c>
      <c r="AL345" s="19">
        <f>IFERROR(INDEX(#REF!,MATCH($D345,#REF!,"")),"")</f>
      </c>
      <c r="AM345" s="19">
        <f>IFERROR(INDEX(#REF!,MATCH($D345,#REF!,"")),"")</f>
      </c>
      <c r="AN345" s="19">
        <f>IFERROR(INDEX(#REF!,MATCH($D345,#REF!,0)),"")</f>
      </c>
    </row>
    <row x14ac:dyDescent="0.25" r="346" customHeight="1" ht="18.75">
      <c r="A346" s="7">
        <v>101242912</v>
      </c>
      <c r="B346" s="8">
        <v>45924</v>
      </c>
      <c r="C346" s="9">
        <v>5.368055555555555</v>
      </c>
      <c r="D346" s="7">
        <v>118688</v>
      </c>
      <c r="E346" s="10">
        <v>682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19">
        <f>IFERROR(INDEX(#REF!,MATCH($D346,#REF!,"")),"")</f>
      </c>
      <c r="AL346" s="19">
        <f>IFERROR(INDEX(#REF!,MATCH($D346,#REF!,"")),"")</f>
      </c>
      <c r="AM346" s="19">
        <f>IFERROR(INDEX(#REF!,MATCH($D346,#REF!,"")),"")</f>
      </c>
      <c r="AN346" s="19">
        <f>IFERROR(INDEX(#REF!,MATCH($D346,#REF!,0)),"")</f>
      </c>
    </row>
    <row x14ac:dyDescent="0.25" r="347" customHeight="1" ht="18.75">
      <c r="A347" s="7">
        <v>101242913</v>
      </c>
      <c r="B347" s="8">
        <v>45924</v>
      </c>
      <c r="C347" s="9">
        <v>5.375</v>
      </c>
      <c r="D347" s="7">
        <v>122826</v>
      </c>
      <c r="E347" s="10">
        <v>724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19">
        <f>IFERROR(INDEX(#REF!,MATCH($D347,#REF!,"")),"")</f>
      </c>
      <c r="AL347" s="19">
        <f>IFERROR(INDEX(#REF!,MATCH($D347,#REF!,"")),"")</f>
      </c>
      <c r="AM347" s="19">
        <f>IFERROR(INDEX(#REF!,MATCH($D347,#REF!,"")),"")</f>
      </c>
      <c r="AN347" s="19">
        <f>IFERROR(INDEX(#REF!,MATCH($D347,#REF!,0)),"")</f>
      </c>
    </row>
    <row x14ac:dyDescent="0.25" r="348" customHeight="1" ht="18.75">
      <c r="A348" s="7">
        <v>101242914</v>
      </c>
      <c r="B348" s="8">
        <v>45924</v>
      </c>
      <c r="C348" s="9">
        <v>5.381944444444445</v>
      </c>
      <c r="D348" s="7">
        <v>102718</v>
      </c>
      <c r="E348" s="10">
        <v>44</v>
      </c>
      <c r="F348" s="6" t="s">
        <v>8</v>
      </c>
      <c r="G348" s="6"/>
      <c r="H348" s="6" t="s">
        <v>163</v>
      </c>
      <c r="I348" s="6" t="s">
        <v>169</v>
      </c>
      <c r="J348" s="6" t="s">
        <v>170</v>
      </c>
      <c r="K348" s="6" t="s">
        <v>175</v>
      </c>
      <c r="L348" s="6" t="s">
        <v>171</v>
      </c>
      <c r="M348" s="6" t="s">
        <v>145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 t="s">
        <v>12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19">
        <f>IFERROR(INDEX(#REF!,MATCH($D348,#REF!,"")),"")</f>
      </c>
      <c r="AL348" s="19">
        <f>IFERROR(INDEX(#REF!,MATCH($D348,#REF!,"")),"")</f>
      </c>
      <c r="AM348" s="19">
        <f>IFERROR(INDEX(#REF!,MATCH($D348,#REF!,"")),"")</f>
      </c>
      <c r="AN348" s="19">
        <f>IFERROR(INDEX(#REF!,MATCH($D348,#REF!,0)),"")</f>
      </c>
    </row>
    <row x14ac:dyDescent="0.25" r="349" customHeight="1" ht="18.75">
      <c r="A349" s="7">
        <v>101242918</v>
      </c>
      <c r="B349" s="8">
        <v>45924</v>
      </c>
      <c r="C349" s="9">
        <v>5.409722222222222</v>
      </c>
      <c r="D349" s="7">
        <v>112969</v>
      </c>
      <c r="E349" s="10">
        <v>445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19">
        <f>IFERROR(INDEX(#REF!,MATCH($D349,#REF!,"")),"")</f>
      </c>
      <c r="AL349" s="19">
        <f>IFERROR(INDEX(#REF!,MATCH($D349,#REF!,"")),"")</f>
      </c>
      <c r="AM349" s="19">
        <f>IFERROR(INDEX(#REF!,MATCH($D349,#REF!,"")),"")</f>
      </c>
      <c r="AN349" s="19">
        <f>IFERROR(INDEX(#REF!,MATCH($D349,#REF!,0)),"")</f>
      </c>
    </row>
    <row x14ac:dyDescent="0.25" r="350" customHeight="1" ht="18.75">
      <c r="A350" s="7">
        <v>101241835</v>
      </c>
      <c r="B350" s="8">
        <v>45924</v>
      </c>
      <c r="C350" s="9">
        <v>5.423611111111111</v>
      </c>
      <c r="D350" s="7">
        <v>102225</v>
      </c>
      <c r="E350" s="10">
        <v>79</v>
      </c>
      <c r="F350" s="6" t="s">
        <v>8</v>
      </c>
      <c r="G350" s="6" t="s">
        <v>8</v>
      </c>
      <c r="H350" s="6" t="s">
        <v>163</v>
      </c>
      <c r="I350" s="6" t="s">
        <v>169</v>
      </c>
      <c r="J350" s="6" t="s">
        <v>170</v>
      </c>
      <c r="K350" s="6" t="s">
        <v>171</v>
      </c>
      <c r="L350" s="6" t="s">
        <v>145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 t="s">
        <v>11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19">
        <f>IFERROR(INDEX(#REF!,MATCH($D350,#REF!,"")),"")</f>
      </c>
      <c r="AL350" s="19">
        <f>IFERROR(INDEX(#REF!,MATCH($D350,#REF!,"")),"")</f>
      </c>
      <c r="AM350" s="19">
        <f>IFERROR(INDEX(#REF!,MATCH($D350,#REF!,"")),"")</f>
      </c>
      <c r="AN350" s="19">
        <f>IFERROR(INDEX(#REF!,MATCH($D350,#REF!,0)),"")</f>
      </c>
    </row>
    <row x14ac:dyDescent="0.25" r="351" customHeight="1" ht="18.75">
      <c r="A351" s="7">
        <v>101242921</v>
      </c>
      <c r="B351" s="8">
        <v>45924</v>
      </c>
      <c r="C351" s="9">
        <v>5.430555555555555</v>
      </c>
      <c r="D351" s="7">
        <v>112389</v>
      </c>
      <c r="E351" s="10">
        <v>93</v>
      </c>
      <c r="F351" s="6"/>
      <c r="G351" s="6"/>
      <c r="H351" s="6" t="s">
        <v>176</v>
      </c>
      <c r="I351" s="6" t="s">
        <v>177</v>
      </c>
      <c r="J351" s="6" t="s">
        <v>178</v>
      </c>
      <c r="K351" s="6" t="s">
        <v>179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 t="s">
        <v>180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19">
        <f>IFERROR(INDEX(#REF!,MATCH($D351,#REF!,"")),"")</f>
      </c>
      <c r="AL351" s="19">
        <f>IFERROR(INDEX(#REF!,MATCH($D351,#REF!,"")),"")</f>
      </c>
      <c r="AM351" s="19">
        <f>IFERROR(INDEX(#REF!,MATCH($D351,#REF!,"")),"")</f>
      </c>
      <c r="AN351" s="19">
        <f>IFERROR(INDEX(#REF!,MATCH($D351,#REF!,0)),"")</f>
      </c>
    </row>
    <row x14ac:dyDescent="0.25" r="352" customHeight="1" ht="18.75">
      <c r="A352" s="7">
        <v>101242922</v>
      </c>
      <c r="B352" s="8">
        <v>45924</v>
      </c>
      <c r="C352" s="9">
        <v>5.4375</v>
      </c>
      <c r="D352" s="7">
        <v>114142</v>
      </c>
      <c r="E352" s="10">
        <v>75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19">
        <f>IFERROR(INDEX(#REF!,MATCH($D352,#REF!,"")),"")</f>
      </c>
      <c r="AL352" s="19">
        <f>IFERROR(INDEX(#REF!,MATCH($D352,#REF!,"")),"")</f>
      </c>
      <c r="AM352" s="19">
        <f>IFERROR(INDEX(#REF!,MATCH($D352,#REF!,"")),"")</f>
      </c>
      <c r="AN352" s="19">
        <f>IFERROR(INDEX(#REF!,MATCH($D352,#REF!,0)),"")</f>
      </c>
    </row>
    <row x14ac:dyDescent="0.25" r="353" customHeight="1" ht="18.75">
      <c r="A353" s="7">
        <v>101242923</v>
      </c>
      <c r="B353" s="8">
        <v>45924</v>
      </c>
      <c r="C353" s="9">
        <v>5.444444444444445</v>
      </c>
      <c r="D353" s="7">
        <v>105004</v>
      </c>
      <c r="E353" s="10">
        <v>150</v>
      </c>
      <c r="F353" s="6" t="s">
        <v>8</v>
      </c>
      <c r="G353" s="6"/>
      <c r="H353" s="6" t="s">
        <v>163</v>
      </c>
      <c r="I353" s="6" t="s">
        <v>169</v>
      </c>
      <c r="J353" s="6" t="s">
        <v>170</v>
      </c>
      <c r="K353" s="6" t="s">
        <v>175</v>
      </c>
      <c r="L353" s="6" t="s">
        <v>171</v>
      </c>
      <c r="M353" s="6" t="s">
        <v>145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 t="s">
        <v>12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19">
        <f>IFERROR(INDEX(#REF!,MATCH($D353,#REF!,"")),"")</f>
      </c>
      <c r="AL353" s="19">
        <f>IFERROR(INDEX(#REF!,MATCH($D353,#REF!,"")),"")</f>
      </c>
      <c r="AM353" s="19">
        <f>IFERROR(INDEX(#REF!,MATCH($D353,#REF!,"")),"")</f>
      </c>
      <c r="AN353" s="19">
        <f>IFERROR(INDEX(#REF!,MATCH($D353,#REF!,0)),"")</f>
      </c>
    </row>
    <row x14ac:dyDescent="0.25" r="354" customHeight="1" ht="18.75">
      <c r="A354" s="7">
        <v>101242926</v>
      </c>
      <c r="B354" s="8">
        <v>45924</v>
      </c>
      <c r="C354" s="9">
        <v>5.465277777777778</v>
      </c>
      <c r="D354" s="7">
        <v>119901</v>
      </c>
      <c r="E354" s="10">
        <v>40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19">
        <f>IFERROR(INDEX(#REF!,MATCH($D354,#REF!,"")),"")</f>
      </c>
      <c r="AL354" s="19">
        <f>IFERROR(INDEX(#REF!,MATCH($D354,#REF!,"")),"")</f>
      </c>
      <c r="AM354" s="19">
        <f>IFERROR(INDEX(#REF!,MATCH($D354,#REF!,"")),"")</f>
      </c>
      <c r="AN354" s="19">
        <f>IFERROR(INDEX(#REF!,MATCH($D354,#REF!,0)),"")</f>
      </c>
    </row>
    <row x14ac:dyDescent="0.25" r="355" customHeight="1" ht="18.75">
      <c r="A355" s="7">
        <v>101242927</v>
      </c>
      <c r="B355" s="8">
        <v>45924</v>
      </c>
      <c r="C355" s="9">
        <v>5.472222222222222</v>
      </c>
      <c r="D355" s="7">
        <v>123788</v>
      </c>
      <c r="E355" s="10">
        <v>30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19">
        <f>IFERROR(INDEX(#REF!,MATCH($D355,#REF!,"")),"")</f>
      </c>
      <c r="AL355" s="19">
        <f>IFERROR(INDEX(#REF!,MATCH($D355,#REF!,"")),"")</f>
      </c>
      <c r="AM355" s="19">
        <f>IFERROR(INDEX(#REF!,MATCH($D355,#REF!,"")),"")</f>
      </c>
      <c r="AN355" s="19">
        <f>IFERROR(INDEX(#REF!,MATCH($D355,#REF!,0)),"")</f>
      </c>
    </row>
    <row x14ac:dyDescent="0.25" r="356" customHeight="1" ht="18.75">
      <c r="A356" s="7">
        <v>101242928</v>
      </c>
      <c r="B356" s="8">
        <v>45924</v>
      </c>
      <c r="C356" s="9">
        <v>5.479166666666667</v>
      </c>
      <c r="D356" s="7">
        <v>124734</v>
      </c>
      <c r="E356" s="10">
        <v>126</v>
      </c>
      <c r="F356" s="6" t="s">
        <v>8</v>
      </c>
      <c r="G356" s="6" t="s">
        <v>8</v>
      </c>
      <c r="H356" s="6" t="s">
        <v>163</v>
      </c>
      <c r="I356" s="6" t="s">
        <v>169</v>
      </c>
      <c r="J356" s="6" t="s">
        <v>170</v>
      </c>
      <c r="K356" s="6" t="s">
        <v>171</v>
      </c>
      <c r="L356" s="6" t="s">
        <v>145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 t="s">
        <v>11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19">
        <f>IFERROR(INDEX(#REF!,MATCH($D356,#REF!,"")),"")</f>
      </c>
      <c r="AL356" s="19">
        <f>IFERROR(INDEX(#REF!,MATCH($D356,#REF!,"")),"")</f>
      </c>
      <c r="AM356" s="19">
        <f>IFERROR(INDEX(#REF!,MATCH($D356,#REF!,"")),"")</f>
      </c>
      <c r="AN356" s="19">
        <f>IFERROR(INDEX(#REF!,MATCH($D356,#REF!,0)),"")</f>
      </c>
    </row>
    <row x14ac:dyDescent="0.25" r="357" customHeight="1" ht="18.75">
      <c r="A357" s="7">
        <v>101242929</v>
      </c>
      <c r="B357" s="8">
        <v>45924</v>
      </c>
      <c r="C357" s="9">
        <v>5.486111111111111</v>
      </c>
      <c r="D357" s="7">
        <v>124137</v>
      </c>
      <c r="E357" s="10">
        <v>15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19">
        <f>IFERROR(INDEX(#REF!,MATCH($D357,#REF!,"")),"")</f>
      </c>
      <c r="AL357" s="19">
        <f>IFERROR(INDEX(#REF!,MATCH($D357,#REF!,"")),"")</f>
      </c>
      <c r="AM357" s="19">
        <f>IFERROR(INDEX(#REF!,MATCH($D357,#REF!,"")),"")</f>
      </c>
      <c r="AN357" s="19">
        <f>IFERROR(INDEX(#REF!,MATCH($D357,#REF!,0)),"")</f>
      </c>
    </row>
    <row x14ac:dyDescent="0.25" r="358" customHeight="1" ht="18.75">
      <c r="A358" s="7">
        <v>101242930</v>
      </c>
      <c r="B358" s="8">
        <v>45924</v>
      </c>
      <c r="C358" s="9">
        <v>5.513888888888889</v>
      </c>
      <c r="D358" s="7">
        <v>102528</v>
      </c>
      <c r="E358" s="10">
        <v>398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19">
        <f>IFERROR(INDEX(#REF!,MATCH($D358,#REF!,"")),"")</f>
      </c>
      <c r="AL358" s="19">
        <f>IFERROR(INDEX(#REF!,MATCH($D358,#REF!,"")),"")</f>
      </c>
      <c r="AM358" s="19">
        <f>IFERROR(INDEX(#REF!,MATCH($D358,#REF!,"")),"")</f>
      </c>
      <c r="AN358" s="19">
        <f>IFERROR(INDEX(#REF!,MATCH($D358,#REF!,0)),"")</f>
      </c>
    </row>
    <row x14ac:dyDescent="0.25" r="359" customHeight="1" ht="18.75">
      <c r="A359" s="7">
        <v>101242924</v>
      </c>
      <c r="B359" s="8">
        <v>45924</v>
      </c>
      <c r="C359" s="9">
        <v>5.583333333333333</v>
      </c>
      <c r="D359" s="7">
        <v>114745</v>
      </c>
      <c r="E359" s="10">
        <v>351</v>
      </c>
      <c r="F359" s="6" t="s">
        <v>8</v>
      </c>
      <c r="G359" s="6"/>
      <c r="H359" s="6" t="s">
        <v>163</v>
      </c>
      <c r="I359" s="6" t="s">
        <v>169</v>
      </c>
      <c r="J359" s="6" t="s">
        <v>170</v>
      </c>
      <c r="K359" s="6" t="s">
        <v>171</v>
      </c>
      <c r="L359" s="6" t="s">
        <v>145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 t="s">
        <v>11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19">
        <f>IFERROR(INDEX(#REF!,MATCH($D359,#REF!,"")),"")</f>
      </c>
      <c r="AL359" s="19">
        <f>IFERROR(INDEX(#REF!,MATCH($D359,#REF!,"")),"")</f>
      </c>
      <c r="AM359" s="19">
        <f>IFERROR(INDEX(#REF!,MATCH($D359,#REF!,"")),"")</f>
      </c>
      <c r="AN359" s="19">
        <f>IFERROR(INDEX(#REF!,MATCH($D359,#REF!,0)),"")</f>
      </c>
    </row>
    <row x14ac:dyDescent="0.25" r="360" customHeight="1" ht="18.75">
      <c r="A360" s="7">
        <v>101258663</v>
      </c>
      <c r="B360" s="8">
        <v>45925</v>
      </c>
      <c r="C360" s="9"/>
      <c r="D360" s="7">
        <v>102219</v>
      </c>
      <c r="E360" s="10">
        <v>74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19">
        <f>IFERROR(INDEX(#REF!,MATCH($D360,#REF!,"")),"")</f>
      </c>
      <c r="AL360" s="19">
        <f>IFERROR(INDEX(#REF!,MATCH($D360,#REF!,"")),"")</f>
      </c>
      <c r="AM360" s="19">
        <f>IFERROR(INDEX(#REF!,MATCH($D360,#REF!,"")),"")</f>
      </c>
      <c r="AN360" s="19">
        <f>IFERROR(INDEX(#REF!,MATCH($D360,#REF!,0)),"")</f>
      </c>
    </row>
    <row x14ac:dyDescent="0.25" r="361" customHeight="1" ht="18.75">
      <c r="A361" s="7">
        <v>101258666</v>
      </c>
      <c r="B361" s="8">
        <v>45925</v>
      </c>
      <c r="C361" s="9"/>
      <c r="D361" s="7">
        <v>102220</v>
      </c>
      <c r="E361" s="10">
        <v>174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19">
        <f>IFERROR(INDEX(#REF!,MATCH($D361,#REF!,"")),"")</f>
      </c>
      <c r="AL361" s="19">
        <f>IFERROR(INDEX(#REF!,MATCH($D361,#REF!,"")),"")</f>
      </c>
      <c r="AM361" s="19">
        <f>IFERROR(INDEX(#REF!,MATCH($D361,#REF!,"")),"")</f>
      </c>
      <c r="AN361" s="19">
        <f>IFERROR(INDEX(#REF!,MATCH($D361,#REF!,0)),"")</f>
      </c>
    </row>
    <row x14ac:dyDescent="0.25" r="362" customHeight="1" ht="18.75">
      <c r="A362" s="7">
        <v>101258665</v>
      </c>
      <c r="B362" s="8">
        <v>45925</v>
      </c>
      <c r="C362" s="9"/>
      <c r="D362" s="7">
        <v>102309</v>
      </c>
      <c r="E362" s="10">
        <v>167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19">
        <f>IFERROR(INDEX(#REF!,MATCH($D362,#REF!,"")),"")</f>
      </c>
      <c r="AL362" s="19">
        <f>IFERROR(INDEX(#REF!,MATCH($D362,#REF!,"")),"")</f>
      </c>
      <c r="AM362" s="19">
        <f>IFERROR(INDEX(#REF!,MATCH($D362,#REF!,"")),"")</f>
      </c>
      <c r="AN362" s="19">
        <f>IFERROR(INDEX(#REF!,MATCH($D362,#REF!,0)),"")</f>
      </c>
    </row>
    <row x14ac:dyDescent="0.25" r="363" customHeight="1" ht="18.75">
      <c r="A363" s="7">
        <v>101258667</v>
      </c>
      <c r="B363" s="8">
        <v>45925</v>
      </c>
      <c r="C363" s="9"/>
      <c r="D363" s="7">
        <v>102310</v>
      </c>
      <c r="E363" s="10">
        <v>164</v>
      </c>
      <c r="F363" s="6"/>
      <c r="G363" s="6"/>
      <c r="H363" s="6" t="s">
        <v>18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 t="s">
        <v>18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19">
        <f>IFERROR(INDEX(#REF!,MATCH($D363,#REF!,"")),"")</f>
      </c>
      <c r="AL363" s="19">
        <f>IFERROR(INDEX(#REF!,MATCH($D363,#REF!,"")),"")</f>
      </c>
      <c r="AM363" s="19">
        <f>IFERROR(INDEX(#REF!,MATCH($D363,#REF!,"")),"")</f>
      </c>
      <c r="AN363" s="19">
        <f>IFERROR(INDEX(#REF!,MATCH($D363,#REF!,0)),"")</f>
      </c>
    </row>
    <row x14ac:dyDescent="0.25" r="364" customHeight="1" ht="18.75">
      <c r="A364" s="7">
        <v>101258669</v>
      </c>
      <c r="B364" s="8">
        <v>45925</v>
      </c>
      <c r="C364" s="9"/>
      <c r="D364" s="7">
        <v>102347</v>
      </c>
      <c r="E364" s="10">
        <v>126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19">
        <f>IFERROR(INDEX(#REF!,MATCH($D364,#REF!,"")),"")</f>
      </c>
      <c r="AL364" s="19">
        <f>IFERROR(INDEX(#REF!,MATCH($D364,#REF!,"")),"")</f>
      </c>
      <c r="AM364" s="19">
        <f>IFERROR(INDEX(#REF!,MATCH($D364,#REF!,"")),"")</f>
      </c>
      <c r="AN364" s="19">
        <f>IFERROR(INDEX(#REF!,MATCH($D364,#REF!,0)),"")</f>
      </c>
    </row>
    <row x14ac:dyDescent="0.25" r="365" customHeight="1" ht="18.75">
      <c r="A365" s="7">
        <v>101258672</v>
      </c>
      <c r="B365" s="8">
        <v>45925</v>
      </c>
      <c r="C365" s="9"/>
      <c r="D365" s="7">
        <v>102586</v>
      </c>
      <c r="E365" s="10">
        <v>136</v>
      </c>
      <c r="F365" s="6"/>
      <c r="G365" s="6"/>
      <c r="H365" s="6" t="s">
        <v>18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 t="s">
        <v>18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19">
        <f>IFERROR(INDEX(#REF!,MATCH($D365,#REF!,"")),"")</f>
      </c>
      <c r="AL365" s="19">
        <f>IFERROR(INDEX(#REF!,MATCH($D365,#REF!,"")),"")</f>
      </c>
      <c r="AM365" s="19">
        <f>IFERROR(INDEX(#REF!,MATCH($D365,#REF!,"")),"")</f>
      </c>
      <c r="AN365" s="19">
        <f>IFERROR(INDEX(#REF!,MATCH($D365,#REF!,0)),"")</f>
      </c>
    </row>
    <row x14ac:dyDescent="0.25" r="366" customHeight="1" ht="18.75">
      <c r="A366" s="7">
        <v>101258673</v>
      </c>
      <c r="B366" s="8">
        <v>45925</v>
      </c>
      <c r="C366" s="9"/>
      <c r="D366" s="7">
        <v>104994</v>
      </c>
      <c r="E366" s="10">
        <v>52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19">
        <f>IFERROR(INDEX(#REF!,MATCH($D366,#REF!,"")),"")</f>
      </c>
      <c r="AL366" s="19">
        <f>IFERROR(INDEX(#REF!,MATCH($D366,#REF!,"")),"")</f>
      </c>
      <c r="AM366" s="19">
        <f>IFERROR(INDEX(#REF!,MATCH($D366,#REF!,"")),"")</f>
      </c>
      <c r="AN366" s="19">
        <f>IFERROR(INDEX(#REF!,MATCH($D366,#REF!,0)),"")</f>
      </c>
    </row>
    <row x14ac:dyDescent="0.25" r="367" customHeight="1" ht="18.75">
      <c r="A367" s="7">
        <v>101258674</v>
      </c>
      <c r="B367" s="8">
        <v>45925</v>
      </c>
      <c r="C367" s="9"/>
      <c r="D367" s="7">
        <v>104995</v>
      </c>
      <c r="E367" s="10">
        <v>89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19">
        <f>IFERROR(INDEX(#REF!,MATCH($D367,#REF!,"")),"")</f>
      </c>
      <c r="AL367" s="19">
        <f>IFERROR(INDEX(#REF!,MATCH($D367,#REF!,"")),"")</f>
      </c>
      <c r="AM367" s="19">
        <f>IFERROR(INDEX(#REF!,MATCH($D367,#REF!,"")),"")</f>
      </c>
      <c r="AN367" s="19">
        <f>IFERROR(INDEX(#REF!,MATCH($D367,#REF!,0)),"")</f>
      </c>
    </row>
    <row x14ac:dyDescent="0.25" r="368" customHeight="1" ht="18.75">
      <c r="A368" s="7">
        <v>101258676</v>
      </c>
      <c r="B368" s="8">
        <v>45925</v>
      </c>
      <c r="C368" s="9"/>
      <c r="D368" s="7">
        <v>109426</v>
      </c>
      <c r="E368" s="10">
        <v>40</v>
      </c>
      <c r="F368" s="6" t="s">
        <v>8</v>
      </c>
      <c r="G368" s="6"/>
      <c r="H368" s="6" t="s">
        <v>163</v>
      </c>
      <c r="I368" s="6" t="s">
        <v>169</v>
      </c>
      <c r="J368" s="6" t="s">
        <v>170</v>
      </c>
      <c r="K368" s="6" t="s">
        <v>175</v>
      </c>
      <c r="L368" s="6" t="s">
        <v>171</v>
      </c>
      <c r="M368" s="6" t="s">
        <v>145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 t="s">
        <v>12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19">
        <f>IFERROR(INDEX(#REF!,MATCH($D368,#REF!,"")),"")</f>
      </c>
      <c r="AL368" s="19">
        <f>IFERROR(INDEX(#REF!,MATCH($D368,#REF!,"")),"")</f>
      </c>
      <c r="AM368" s="19">
        <f>IFERROR(INDEX(#REF!,MATCH($D368,#REF!,"")),"")</f>
      </c>
      <c r="AN368" s="19">
        <f>IFERROR(INDEX(#REF!,MATCH($D368,#REF!,0)),"")</f>
      </c>
    </row>
    <row x14ac:dyDescent="0.25" r="369" customHeight="1" ht="18.75">
      <c r="A369" s="7">
        <v>101258677</v>
      </c>
      <c r="B369" s="8">
        <v>45925</v>
      </c>
      <c r="C369" s="9"/>
      <c r="D369" s="7">
        <v>109429</v>
      </c>
      <c r="E369" s="10">
        <v>349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19">
        <f>IFERROR(INDEX(#REF!,MATCH($D369,#REF!,"")),"")</f>
      </c>
      <c r="AL369" s="19">
        <f>IFERROR(INDEX(#REF!,MATCH($D369,#REF!,"")),"")</f>
      </c>
      <c r="AM369" s="19">
        <f>IFERROR(INDEX(#REF!,MATCH($D369,#REF!,"")),"")</f>
      </c>
      <c r="AN369" s="19">
        <f>IFERROR(INDEX(#REF!,MATCH($D369,#REF!,0)),"")</f>
      </c>
    </row>
    <row x14ac:dyDescent="0.25" r="370" customHeight="1" ht="18.75">
      <c r="A370" s="7">
        <v>101258678</v>
      </c>
      <c r="B370" s="8">
        <v>45925</v>
      </c>
      <c r="C370" s="9"/>
      <c r="D370" s="7">
        <v>109430</v>
      </c>
      <c r="E370" s="10">
        <v>112</v>
      </c>
      <c r="F370" s="6" t="s">
        <v>8</v>
      </c>
      <c r="G370" s="6"/>
      <c r="H370" s="6" t="s">
        <v>163</v>
      </c>
      <c r="I370" s="6" t="s">
        <v>169</v>
      </c>
      <c r="J370" s="6" t="s">
        <v>170</v>
      </c>
      <c r="K370" s="6" t="s">
        <v>175</v>
      </c>
      <c r="L370" s="6" t="s">
        <v>171</v>
      </c>
      <c r="M370" s="6" t="s">
        <v>145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 t="s">
        <v>12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19">
        <f>IFERROR(INDEX(#REF!,MATCH($D370,#REF!,"")),"")</f>
      </c>
      <c r="AL370" s="19">
        <f>IFERROR(INDEX(#REF!,MATCH($D370,#REF!,"")),"")</f>
      </c>
      <c r="AM370" s="19">
        <f>IFERROR(INDEX(#REF!,MATCH($D370,#REF!,"")),"")</f>
      </c>
      <c r="AN370" s="19">
        <f>IFERROR(INDEX(#REF!,MATCH($D370,#REF!,0)),"")</f>
      </c>
    </row>
    <row x14ac:dyDescent="0.25" r="371" customHeight="1" ht="18.75">
      <c r="A371" s="7">
        <v>101258679</v>
      </c>
      <c r="B371" s="8">
        <v>45925</v>
      </c>
      <c r="C371" s="9"/>
      <c r="D371" s="7">
        <v>111762</v>
      </c>
      <c r="E371" s="10">
        <v>65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19">
        <f>IFERROR(INDEX(#REF!,MATCH($D371,#REF!,"")),"")</f>
      </c>
      <c r="AL371" s="19">
        <f>IFERROR(INDEX(#REF!,MATCH($D371,#REF!,"")),"")</f>
      </c>
      <c r="AM371" s="19">
        <f>IFERROR(INDEX(#REF!,MATCH($D371,#REF!,"")),"")</f>
      </c>
      <c r="AN371" s="19">
        <f>IFERROR(INDEX(#REF!,MATCH($D371,#REF!,0)),"")</f>
      </c>
    </row>
    <row x14ac:dyDescent="0.25" r="372" customHeight="1" ht="18.75">
      <c r="A372" s="7">
        <v>101258680</v>
      </c>
      <c r="B372" s="8">
        <v>45925</v>
      </c>
      <c r="C372" s="9"/>
      <c r="D372" s="7">
        <v>112381</v>
      </c>
      <c r="E372" s="10">
        <v>221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19">
        <f>IFERROR(INDEX(#REF!,MATCH($D372,#REF!,"")),"")</f>
      </c>
      <c r="AL372" s="19">
        <f>IFERROR(INDEX(#REF!,MATCH($D372,#REF!,"")),"")</f>
      </c>
      <c r="AM372" s="19">
        <f>IFERROR(INDEX(#REF!,MATCH($D372,#REF!,"")),"")</f>
      </c>
      <c r="AN372" s="19">
        <f>IFERROR(INDEX(#REF!,MATCH($D372,#REF!,0)),"")</f>
      </c>
    </row>
    <row x14ac:dyDescent="0.25" r="373" customHeight="1" ht="18.75">
      <c r="A373" s="7">
        <v>101258681</v>
      </c>
      <c r="B373" s="8">
        <v>45925</v>
      </c>
      <c r="C373" s="9"/>
      <c r="D373" s="7">
        <v>113601</v>
      </c>
      <c r="E373" s="10">
        <v>50</v>
      </c>
      <c r="F373" s="6" t="s">
        <v>8</v>
      </c>
      <c r="G373" s="6"/>
      <c r="H373" s="6" t="s">
        <v>163</v>
      </c>
      <c r="I373" s="6" t="s">
        <v>169</v>
      </c>
      <c r="J373" s="6" t="s">
        <v>170</v>
      </c>
      <c r="K373" s="6" t="s">
        <v>175</v>
      </c>
      <c r="L373" s="6" t="s">
        <v>171</v>
      </c>
      <c r="M373" s="6" t="s">
        <v>145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 t="s">
        <v>12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19">
        <f>IFERROR(INDEX(#REF!,MATCH($D373,#REF!,"")),"")</f>
      </c>
      <c r="AL373" s="19">
        <f>IFERROR(INDEX(#REF!,MATCH($D373,#REF!,"")),"")</f>
      </c>
      <c r="AM373" s="19">
        <f>IFERROR(INDEX(#REF!,MATCH($D373,#REF!,"")),"")</f>
      </c>
      <c r="AN373" s="19">
        <f>IFERROR(INDEX(#REF!,MATCH($D373,#REF!,0)),"")</f>
      </c>
    </row>
    <row x14ac:dyDescent="0.25" r="374" customHeight="1" ht="18.75">
      <c r="A374" s="7">
        <v>101258683</v>
      </c>
      <c r="B374" s="8">
        <v>45925</v>
      </c>
      <c r="C374" s="9"/>
      <c r="D374" s="7">
        <v>114699</v>
      </c>
      <c r="E374" s="10">
        <v>485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19">
        <f>IFERROR(INDEX(#REF!,MATCH($D374,#REF!,"")),"")</f>
      </c>
      <c r="AL374" s="19">
        <f>IFERROR(INDEX(#REF!,MATCH($D374,#REF!,"")),"")</f>
      </c>
      <c r="AM374" s="19">
        <f>IFERROR(INDEX(#REF!,MATCH($D374,#REF!,"")),"")</f>
      </c>
      <c r="AN374" s="19">
        <f>IFERROR(INDEX(#REF!,MATCH($D374,#REF!,0)),"")</f>
      </c>
    </row>
    <row x14ac:dyDescent="0.25" r="375" customHeight="1" ht="18.75">
      <c r="A375" s="7">
        <v>101258685</v>
      </c>
      <c r="B375" s="8">
        <v>45925</v>
      </c>
      <c r="C375" s="9"/>
      <c r="D375" s="7">
        <v>117277</v>
      </c>
      <c r="E375" s="10">
        <v>521</v>
      </c>
      <c r="F375" s="6"/>
      <c r="G375" s="6" t="s">
        <v>8</v>
      </c>
      <c r="H375" s="6" t="s">
        <v>18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 t="s">
        <v>18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19">
        <f>IFERROR(INDEX(#REF!,MATCH($D375,#REF!,"")),"")</f>
      </c>
      <c r="AL375" s="19">
        <f>IFERROR(INDEX(#REF!,MATCH($D375,#REF!,"")),"")</f>
      </c>
      <c r="AM375" s="19">
        <f>IFERROR(INDEX(#REF!,MATCH($D375,#REF!,"")),"")</f>
      </c>
      <c r="AN375" s="19">
        <f>IFERROR(INDEX(#REF!,MATCH($D375,#REF!,0)),"")</f>
      </c>
    </row>
    <row x14ac:dyDescent="0.25" r="376" customHeight="1" ht="18.75">
      <c r="A376" s="7">
        <v>101258686</v>
      </c>
      <c r="B376" s="8">
        <v>45925</v>
      </c>
      <c r="C376" s="9"/>
      <c r="D376" s="7">
        <v>117534</v>
      </c>
      <c r="E376" s="10">
        <v>395</v>
      </c>
      <c r="F376" s="6"/>
      <c r="G376" s="6"/>
      <c r="H376" s="6" t="s">
        <v>18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 t="s">
        <v>18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19">
        <f>IFERROR(INDEX(#REF!,MATCH($D376,#REF!,"")),"")</f>
      </c>
      <c r="AL376" s="19">
        <f>IFERROR(INDEX(#REF!,MATCH($D376,#REF!,"")),"")</f>
      </c>
      <c r="AM376" s="19">
        <f>IFERROR(INDEX(#REF!,MATCH($D376,#REF!,"")),"")</f>
      </c>
      <c r="AN376" s="19">
        <f>IFERROR(INDEX(#REF!,MATCH($D376,#REF!,0)),"")</f>
      </c>
    </row>
    <row x14ac:dyDescent="0.25" r="377" customHeight="1" ht="18.75">
      <c r="A377" s="7">
        <v>101258688</v>
      </c>
      <c r="B377" s="8">
        <v>45925</v>
      </c>
      <c r="C377" s="9"/>
      <c r="D377" s="7">
        <v>120568</v>
      </c>
      <c r="E377" s="10">
        <v>42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19">
        <f>IFERROR(INDEX(#REF!,MATCH($D377,#REF!,"")),"")</f>
      </c>
      <c r="AL377" s="19">
        <f>IFERROR(INDEX(#REF!,MATCH($D377,#REF!,"")),"")</f>
      </c>
      <c r="AM377" s="19">
        <f>IFERROR(INDEX(#REF!,MATCH($D377,#REF!,"")),"")</f>
      </c>
      <c r="AN377" s="19">
        <f>IFERROR(INDEX(#REF!,MATCH($D377,#REF!,0)),"")</f>
      </c>
    </row>
    <row x14ac:dyDescent="0.25" r="378" customHeight="1" ht="18.75">
      <c r="A378" s="7">
        <v>101243133</v>
      </c>
      <c r="B378" s="8">
        <v>45925</v>
      </c>
      <c r="C378" s="9">
        <v>5.375</v>
      </c>
      <c r="D378" s="7">
        <v>102386</v>
      </c>
      <c r="E378" s="10">
        <v>112</v>
      </c>
      <c r="F378" s="6" t="s">
        <v>8</v>
      </c>
      <c r="G378" s="6"/>
      <c r="H378" s="6" t="s">
        <v>18</v>
      </c>
      <c r="I378" s="6" t="s">
        <v>176</v>
      </c>
      <c r="J378" s="6" t="s">
        <v>177</v>
      </c>
      <c r="K378" s="6" t="s">
        <v>178</v>
      </c>
      <c r="L378" s="6" t="s">
        <v>179</v>
      </c>
      <c r="M378" s="6" t="s">
        <v>173</v>
      </c>
      <c r="N378" s="6" t="s">
        <v>163</v>
      </c>
      <c r="O378" s="6" t="s">
        <v>169</v>
      </c>
      <c r="P378" s="6" t="s">
        <v>170</v>
      </c>
      <c r="Q378" s="6" t="s">
        <v>175</v>
      </c>
      <c r="R378" s="6" t="s">
        <v>171</v>
      </c>
      <c r="S378" s="6" t="s">
        <v>145</v>
      </c>
      <c r="T378" s="6"/>
      <c r="U378" s="6"/>
      <c r="V378" s="6"/>
      <c r="W378" s="6"/>
      <c r="X378" s="6"/>
      <c r="Y378" s="6"/>
      <c r="Z378" s="6"/>
      <c r="AA378" s="6" t="s">
        <v>181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19">
        <f>IFERROR(INDEX(#REF!,MATCH($D378,#REF!,"")),"")</f>
      </c>
      <c r="AL378" s="19">
        <f>IFERROR(INDEX(#REF!,MATCH($D378,#REF!,"")),"")</f>
      </c>
      <c r="AM378" s="19">
        <f>IFERROR(INDEX(#REF!,MATCH($D378,#REF!,"")),"")</f>
      </c>
      <c r="AN378" s="19">
        <f>IFERROR(INDEX(#REF!,MATCH($D378,#REF!,0)),"")</f>
      </c>
    </row>
    <row x14ac:dyDescent="0.25" r="379" customHeight="1" ht="18.75">
      <c r="A379" s="7">
        <v>101243134</v>
      </c>
      <c r="B379" s="8">
        <v>45925</v>
      </c>
      <c r="C379" s="9">
        <v>5.381944444444445</v>
      </c>
      <c r="D379" s="7">
        <v>102724</v>
      </c>
      <c r="E379" s="10">
        <v>120</v>
      </c>
      <c r="F379" s="6" t="s">
        <v>8</v>
      </c>
      <c r="G379" s="6"/>
      <c r="H379" s="6" t="s">
        <v>163</v>
      </c>
      <c r="I379" s="6" t="s">
        <v>169</v>
      </c>
      <c r="J379" s="6" t="s">
        <v>170</v>
      </c>
      <c r="K379" s="6" t="s">
        <v>175</v>
      </c>
      <c r="L379" s="6" t="s">
        <v>171</v>
      </c>
      <c r="M379" s="6" t="s">
        <v>145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 t="s">
        <v>12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19">
        <f>IFERROR(INDEX(#REF!,MATCH($D379,#REF!,"")),"")</f>
      </c>
      <c r="AL379" s="19">
        <f>IFERROR(INDEX(#REF!,MATCH($D379,#REF!,"")),"")</f>
      </c>
      <c r="AM379" s="19">
        <f>IFERROR(INDEX(#REF!,MATCH($D379,#REF!,"")),"")</f>
      </c>
      <c r="AN379" s="19">
        <f>IFERROR(INDEX(#REF!,MATCH($D379,#REF!,0)),"")</f>
      </c>
    </row>
    <row x14ac:dyDescent="0.25" r="380" customHeight="1" ht="18.75">
      <c r="A380" s="7">
        <v>101243135</v>
      </c>
      <c r="B380" s="8">
        <v>45925</v>
      </c>
      <c r="C380" s="9">
        <v>5.388888888888889</v>
      </c>
      <c r="D380" s="7">
        <v>109864</v>
      </c>
      <c r="E380" s="10">
        <v>551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19">
        <f>IFERROR(INDEX(#REF!,MATCH($D380,#REF!,"")),"")</f>
      </c>
      <c r="AL380" s="19">
        <f>IFERROR(INDEX(#REF!,MATCH($D380,#REF!,"")),"")</f>
      </c>
      <c r="AM380" s="19">
        <f>IFERROR(INDEX(#REF!,MATCH($D380,#REF!,"")),"")</f>
      </c>
      <c r="AN380" s="19">
        <f>IFERROR(INDEX(#REF!,MATCH($D380,#REF!,0)),"")</f>
      </c>
    </row>
    <row x14ac:dyDescent="0.25" r="381" customHeight="1" ht="18.75">
      <c r="A381" s="7">
        <v>101243136</v>
      </c>
      <c r="B381" s="8">
        <v>45925</v>
      </c>
      <c r="C381" s="9">
        <v>5.402777777777778</v>
      </c>
      <c r="D381" s="7">
        <v>102524</v>
      </c>
      <c r="E381" s="10">
        <v>42</v>
      </c>
      <c r="F381" s="6" t="s">
        <v>8</v>
      </c>
      <c r="G381" s="6"/>
      <c r="H381" s="6" t="s">
        <v>163</v>
      </c>
      <c r="I381" s="6" t="s">
        <v>164</v>
      </c>
      <c r="J381" s="6" t="s">
        <v>165</v>
      </c>
      <c r="K381" s="6" t="s">
        <v>166</v>
      </c>
      <c r="L381" s="6" t="s">
        <v>14</v>
      </c>
      <c r="M381" s="6" t="s">
        <v>169</v>
      </c>
      <c r="N381" s="6" t="s">
        <v>170</v>
      </c>
      <c r="O381" s="6" t="s">
        <v>175</v>
      </c>
      <c r="P381" s="6" t="s">
        <v>171</v>
      </c>
      <c r="Q381" s="6" t="s">
        <v>145</v>
      </c>
      <c r="R381" s="6"/>
      <c r="S381" s="6"/>
      <c r="T381" s="6"/>
      <c r="U381" s="6"/>
      <c r="V381" s="6"/>
      <c r="W381" s="6"/>
      <c r="X381" s="6"/>
      <c r="Y381" s="6"/>
      <c r="Z381" s="6"/>
      <c r="AA381" s="6" t="s">
        <v>214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19">
        <f>IFERROR(INDEX(#REF!,MATCH($D381,#REF!,"")),"")</f>
      </c>
      <c r="AL381" s="19">
        <f>IFERROR(INDEX(#REF!,MATCH($D381,#REF!,"")),"")</f>
      </c>
      <c r="AM381" s="19">
        <f>IFERROR(INDEX(#REF!,MATCH($D381,#REF!,"")),"")</f>
      </c>
      <c r="AN381" s="19">
        <f>IFERROR(INDEX(#REF!,MATCH($D381,#REF!,0)),"")</f>
      </c>
    </row>
    <row x14ac:dyDescent="0.25" r="382" customHeight="1" ht="18.75">
      <c r="A382" s="7">
        <v>101243137</v>
      </c>
      <c r="B382" s="8">
        <v>45925</v>
      </c>
      <c r="C382" s="9">
        <v>5.409722222222222</v>
      </c>
      <c r="D382" s="7">
        <v>102449</v>
      </c>
      <c r="E382" s="10">
        <v>226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19">
        <f>IFERROR(INDEX(#REF!,MATCH($D382,#REF!,"")),"")</f>
      </c>
      <c r="AL382" s="19">
        <f>IFERROR(INDEX(#REF!,MATCH($D382,#REF!,"")),"")</f>
      </c>
      <c r="AM382" s="19">
        <f>IFERROR(INDEX(#REF!,MATCH($D382,#REF!,"")),"")</f>
      </c>
      <c r="AN382" s="19">
        <f>IFERROR(INDEX(#REF!,MATCH($D382,#REF!,0)),"")</f>
      </c>
    </row>
    <row x14ac:dyDescent="0.25" r="383" customHeight="1" ht="18.75">
      <c r="A383" s="7">
        <v>101243138</v>
      </c>
      <c r="B383" s="8">
        <v>45925</v>
      </c>
      <c r="C383" s="9">
        <v>5.416666666666667</v>
      </c>
      <c r="D383" s="7">
        <v>123795</v>
      </c>
      <c r="E383" s="10">
        <v>32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19">
        <f>IFERROR(INDEX(#REF!,MATCH($D383,#REF!,"")),"")</f>
      </c>
      <c r="AL383" s="19">
        <f>IFERROR(INDEX(#REF!,MATCH($D383,#REF!,"")),"")</f>
      </c>
      <c r="AM383" s="19">
        <f>IFERROR(INDEX(#REF!,MATCH($D383,#REF!,"")),"")</f>
      </c>
      <c r="AN383" s="19">
        <f>IFERROR(INDEX(#REF!,MATCH($D383,#REF!,0)),"")</f>
      </c>
    </row>
    <row x14ac:dyDescent="0.25" r="384" customHeight="1" ht="18.75">
      <c r="A384" s="7">
        <v>101243142</v>
      </c>
      <c r="B384" s="8">
        <v>45925</v>
      </c>
      <c r="C384" s="9">
        <v>5.444444444444445</v>
      </c>
      <c r="D384" s="7">
        <v>102480</v>
      </c>
      <c r="E384" s="10">
        <v>63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19">
        <f>IFERROR(INDEX(#REF!,MATCH($D384,#REF!,"")),"")</f>
      </c>
      <c r="AL384" s="19">
        <f>IFERROR(INDEX(#REF!,MATCH($D384,#REF!,"")),"")</f>
      </c>
      <c r="AM384" s="19">
        <f>IFERROR(INDEX(#REF!,MATCH($D384,#REF!,"")),"")</f>
      </c>
      <c r="AN384" s="19">
        <f>IFERROR(INDEX(#REF!,MATCH($D384,#REF!,0)),"")</f>
      </c>
    </row>
    <row x14ac:dyDescent="0.25" r="385" customHeight="1" ht="18.75">
      <c r="A385" s="7">
        <v>101243143</v>
      </c>
      <c r="B385" s="8">
        <v>45925</v>
      </c>
      <c r="C385" s="9">
        <v>5.458333333333333</v>
      </c>
      <c r="D385" s="7">
        <v>102511</v>
      </c>
      <c r="E385" s="10">
        <v>287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19">
        <f>IFERROR(INDEX(#REF!,MATCH($D385,#REF!,"")),"")</f>
      </c>
      <c r="AL385" s="19">
        <f>IFERROR(INDEX(#REF!,MATCH($D385,#REF!,"")),"")</f>
      </c>
      <c r="AM385" s="19">
        <f>IFERROR(INDEX(#REF!,MATCH($D385,#REF!,"")),"")</f>
      </c>
      <c r="AN385" s="19">
        <f>IFERROR(INDEX(#REF!,MATCH($D385,#REF!,0)),"")</f>
      </c>
    </row>
    <row x14ac:dyDescent="0.25" r="386" customHeight="1" ht="18.75">
      <c r="A386" s="7">
        <v>101241132</v>
      </c>
      <c r="B386" s="8">
        <v>45925</v>
      </c>
      <c r="C386" s="9">
        <v>5.458333333333333</v>
      </c>
      <c r="D386" s="7">
        <v>119015</v>
      </c>
      <c r="E386" s="10">
        <v>165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19">
        <f>IFERROR(INDEX(#REF!,MATCH($D386,#REF!,"")),"")</f>
      </c>
      <c r="AL386" s="19">
        <f>IFERROR(INDEX(#REF!,MATCH($D386,#REF!,"")),"")</f>
      </c>
      <c r="AM386" s="19">
        <f>IFERROR(INDEX(#REF!,MATCH($D386,#REF!,"")),"")</f>
      </c>
      <c r="AN386" s="19">
        <f>IFERROR(INDEX(#REF!,MATCH($D386,#REF!,0)),"")</f>
      </c>
    </row>
    <row x14ac:dyDescent="0.25" r="387" customHeight="1" ht="18.75">
      <c r="A387" s="7">
        <v>101243148</v>
      </c>
      <c r="B387" s="8">
        <v>45925</v>
      </c>
      <c r="C387" s="9">
        <v>5.493055555555555</v>
      </c>
      <c r="D387" s="7">
        <v>112377</v>
      </c>
      <c r="E387" s="10">
        <v>108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19">
        <f>IFERROR(INDEX(#REF!,MATCH($D387,#REF!,"")),"")</f>
      </c>
      <c r="AL387" s="19">
        <f>IFERROR(INDEX(#REF!,MATCH($D387,#REF!,"")),"")</f>
      </c>
      <c r="AM387" s="19">
        <f>IFERROR(INDEX(#REF!,MATCH($D387,#REF!,"")),"")</f>
      </c>
      <c r="AN387" s="19">
        <f>IFERROR(INDEX(#REF!,MATCH($D387,#REF!,0)),"")</f>
      </c>
    </row>
    <row x14ac:dyDescent="0.25" r="388" customHeight="1" ht="18.75">
      <c r="A388" s="7">
        <v>101243149</v>
      </c>
      <c r="B388" s="8">
        <v>45925</v>
      </c>
      <c r="C388" s="9">
        <v>5.583333333333333</v>
      </c>
      <c r="D388" s="7">
        <v>102385</v>
      </c>
      <c r="E388" s="10">
        <v>109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19">
        <f>IFERROR(INDEX(#REF!,MATCH($D388,#REF!,"")),"")</f>
      </c>
      <c r="AL388" s="19">
        <f>IFERROR(INDEX(#REF!,MATCH($D388,#REF!,"")),"")</f>
      </c>
      <c r="AM388" s="19">
        <f>IFERROR(INDEX(#REF!,MATCH($D388,#REF!,"")),"")</f>
      </c>
      <c r="AN388" s="19">
        <f>IFERROR(INDEX(#REF!,MATCH($D388,#REF!,0)),"")</f>
      </c>
    </row>
    <row x14ac:dyDescent="0.25" r="389" customHeight="1" ht="18.75">
      <c r="A389" s="7">
        <v>101243321</v>
      </c>
      <c r="B389" s="8">
        <v>45926</v>
      </c>
      <c r="C389" s="9">
        <v>5.361111111111111</v>
      </c>
      <c r="D389" s="7">
        <v>102193</v>
      </c>
      <c r="E389" s="10">
        <v>263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19">
        <f>IFERROR(INDEX(#REF!,MATCH($D389,#REF!,"")),"")</f>
      </c>
      <c r="AL389" s="19">
        <f>IFERROR(INDEX(#REF!,MATCH($D389,#REF!,"")),"")</f>
      </c>
      <c r="AM389" s="19">
        <f>IFERROR(INDEX(#REF!,MATCH($D389,#REF!,"")),"")</f>
      </c>
      <c r="AN389" s="19">
        <f>IFERROR(INDEX(#REF!,MATCH($D389,#REF!,0)),"")</f>
      </c>
    </row>
    <row x14ac:dyDescent="0.25" r="390" customHeight="1" ht="18.75">
      <c r="A390" s="7">
        <v>101243322</v>
      </c>
      <c r="B390" s="8">
        <v>45926</v>
      </c>
      <c r="C390" s="9">
        <v>5.368055555555555</v>
      </c>
      <c r="D390" s="7">
        <v>117285</v>
      </c>
      <c r="E390" s="10">
        <v>73</v>
      </c>
      <c r="F390" s="6"/>
      <c r="G390" s="6"/>
      <c r="H390" s="6" t="s">
        <v>18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 t="s">
        <v>18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19">
        <f>IFERROR(INDEX(#REF!,MATCH($D390,#REF!,"")),"")</f>
      </c>
      <c r="AL390" s="19">
        <f>IFERROR(INDEX(#REF!,MATCH($D390,#REF!,"")),"")</f>
      </c>
      <c r="AM390" s="19">
        <f>IFERROR(INDEX(#REF!,MATCH($D390,#REF!,"")),"")</f>
      </c>
      <c r="AN390" s="19">
        <f>IFERROR(INDEX(#REF!,MATCH($D390,#REF!,0)),"")</f>
      </c>
    </row>
    <row x14ac:dyDescent="0.25" r="391" customHeight="1" ht="18.75">
      <c r="A391" s="7">
        <v>101243327</v>
      </c>
      <c r="B391" s="8">
        <v>45926</v>
      </c>
      <c r="C391" s="9">
        <v>5.402777777777778</v>
      </c>
      <c r="D391" s="7">
        <v>102737</v>
      </c>
      <c r="E391" s="10">
        <v>86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19">
        <f>IFERROR(INDEX(#REF!,MATCH($D391,#REF!,"")),"")</f>
      </c>
      <c r="AL391" s="19">
        <f>IFERROR(INDEX(#REF!,MATCH($D391,#REF!,"")),"")</f>
      </c>
      <c r="AM391" s="19">
        <f>IFERROR(INDEX(#REF!,MATCH($D391,#REF!,"")),"")</f>
      </c>
      <c r="AN391" s="19">
        <f>IFERROR(INDEX(#REF!,MATCH($D391,#REF!,0)),"")</f>
      </c>
    </row>
    <row x14ac:dyDescent="0.25" r="392" customHeight="1" ht="18.75">
      <c r="A392" s="7">
        <v>101243328</v>
      </c>
      <c r="B392" s="8">
        <v>45926</v>
      </c>
      <c r="C392" s="9">
        <v>5.409722222222222</v>
      </c>
      <c r="D392" s="7">
        <v>102488</v>
      </c>
      <c r="E392" s="10">
        <v>52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19">
        <f>IFERROR(INDEX(#REF!,MATCH($D392,#REF!,"")),"")</f>
      </c>
      <c r="AL392" s="19">
        <f>IFERROR(INDEX(#REF!,MATCH($D392,#REF!,"")),"")</f>
      </c>
      <c r="AM392" s="19">
        <f>IFERROR(INDEX(#REF!,MATCH($D392,#REF!,"")),"")</f>
      </c>
      <c r="AN392" s="19">
        <f>IFERROR(INDEX(#REF!,MATCH($D392,#REF!,0)),"")</f>
      </c>
    </row>
    <row x14ac:dyDescent="0.25" r="393" customHeight="1" ht="18.75">
      <c r="A393" s="7">
        <v>101256041</v>
      </c>
      <c r="B393" s="8">
        <v>45926</v>
      </c>
      <c r="C393" s="9">
        <v>5.416666666666667</v>
      </c>
      <c r="D393" s="7">
        <v>124762</v>
      </c>
      <c r="E393" s="10">
        <v>11</v>
      </c>
      <c r="F393" s="6" t="s">
        <v>8</v>
      </c>
      <c r="G393" s="6"/>
      <c r="H393" s="6" t="s">
        <v>163</v>
      </c>
      <c r="I393" s="6" t="s">
        <v>169</v>
      </c>
      <c r="J393" s="6" t="s">
        <v>170</v>
      </c>
      <c r="K393" s="6" t="s">
        <v>171</v>
      </c>
      <c r="L393" s="6" t="s">
        <v>145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 t="s">
        <v>11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19">
        <f>IFERROR(INDEX(#REF!,MATCH($D393,#REF!,"")),"")</f>
      </c>
      <c r="AL393" s="19">
        <f>IFERROR(INDEX(#REF!,MATCH($D393,#REF!,"")),"")</f>
      </c>
      <c r="AM393" s="19">
        <f>IFERROR(INDEX(#REF!,MATCH($D393,#REF!,"")),"")</f>
      </c>
      <c r="AN393" s="19">
        <f>IFERROR(INDEX(#REF!,MATCH($D393,#REF!,0)),"")</f>
      </c>
    </row>
    <row x14ac:dyDescent="0.25" r="394" customHeight="1" ht="18.75">
      <c r="A394" s="7">
        <v>101243334</v>
      </c>
      <c r="B394" s="8">
        <v>45926</v>
      </c>
      <c r="C394" s="9">
        <v>5.444444444444445</v>
      </c>
      <c r="D394" s="7">
        <v>122887</v>
      </c>
      <c r="E394" s="10">
        <v>419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19">
        <f>IFERROR(INDEX(#REF!,MATCH($D394,#REF!,"")),"")</f>
      </c>
      <c r="AL394" s="19">
        <f>IFERROR(INDEX(#REF!,MATCH($D394,#REF!,"")),"")</f>
      </c>
      <c r="AM394" s="19">
        <f>IFERROR(INDEX(#REF!,MATCH($D394,#REF!,"")),"")</f>
      </c>
      <c r="AN394" s="19">
        <f>IFERROR(INDEX(#REF!,MATCH($D394,#REF!,0)),"")</f>
      </c>
    </row>
    <row x14ac:dyDescent="0.25" r="395" customHeight="1" ht="18.75">
      <c r="A395" s="7">
        <v>101243335</v>
      </c>
      <c r="B395" s="8">
        <v>45926</v>
      </c>
      <c r="C395" s="9">
        <v>5.451388888888889</v>
      </c>
      <c r="D395" s="7">
        <v>102624</v>
      </c>
      <c r="E395" s="10">
        <v>67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19">
        <f>IFERROR(INDEX(#REF!,MATCH($D395,#REF!,"")),"")</f>
      </c>
      <c r="AL395" s="19">
        <f>IFERROR(INDEX(#REF!,MATCH($D395,#REF!,"")),"")</f>
      </c>
      <c r="AM395" s="19">
        <f>IFERROR(INDEX(#REF!,MATCH($D395,#REF!,"")),"")</f>
      </c>
      <c r="AN395" s="19">
        <f>IFERROR(INDEX(#REF!,MATCH($D395,#REF!,0)),"")</f>
      </c>
    </row>
    <row x14ac:dyDescent="0.25" r="396" customHeight="1" ht="18.75">
      <c r="A396" s="7">
        <v>101243336</v>
      </c>
      <c r="B396" s="8">
        <v>45926</v>
      </c>
      <c r="C396" s="9">
        <v>5.458333333333333</v>
      </c>
      <c r="D396" s="7">
        <v>102625</v>
      </c>
      <c r="E396" s="10">
        <v>28</v>
      </c>
      <c r="F396" s="6" t="s">
        <v>8</v>
      </c>
      <c r="G396" s="6"/>
      <c r="H396" s="6" t="s">
        <v>163</v>
      </c>
      <c r="I396" s="6" t="s">
        <v>169</v>
      </c>
      <c r="J396" s="6" t="s">
        <v>170</v>
      </c>
      <c r="K396" s="6" t="s">
        <v>175</v>
      </c>
      <c r="L396" s="6" t="s">
        <v>171</v>
      </c>
      <c r="M396" s="6" t="s">
        <v>145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 t="s">
        <v>12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19">
        <f>IFERROR(INDEX(#REF!,MATCH($D396,#REF!,"")),"")</f>
      </c>
      <c r="AL396" s="19">
        <f>IFERROR(INDEX(#REF!,MATCH($D396,#REF!,"")),"")</f>
      </c>
      <c r="AM396" s="19">
        <f>IFERROR(INDEX(#REF!,MATCH($D396,#REF!,"")),"")</f>
      </c>
      <c r="AN396" s="19">
        <f>IFERROR(INDEX(#REF!,MATCH($D396,#REF!,0)),"")</f>
      </c>
    </row>
    <row x14ac:dyDescent="0.25" r="397" customHeight="1" ht="18.75">
      <c r="A397" s="7">
        <v>101241561</v>
      </c>
      <c r="B397" s="8">
        <v>45926</v>
      </c>
      <c r="C397" s="9">
        <v>5.472222222222222</v>
      </c>
      <c r="D397" s="7">
        <v>102530</v>
      </c>
      <c r="E397" s="10">
        <v>718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19">
        <f>IFERROR(INDEX(#REF!,MATCH($D397,#REF!,"")),"")</f>
      </c>
      <c r="AL397" s="19">
        <f>IFERROR(INDEX(#REF!,MATCH($D397,#REF!,"")),"")</f>
      </c>
      <c r="AM397" s="19">
        <f>IFERROR(INDEX(#REF!,MATCH($D397,#REF!,"")),"")</f>
      </c>
      <c r="AN397" s="19">
        <f>IFERROR(INDEX(#REF!,MATCH($D397,#REF!,0)),"")</f>
      </c>
    </row>
    <row x14ac:dyDescent="0.25" r="398" customHeight="1" ht="18.75">
      <c r="A398" s="7">
        <v>101238798</v>
      </c>
      <c r="B398" s="8">
        <v>45926</v>
      </c>
      <c r="C398" s="9">
        <v>5.5</v>
      </c>
      <c r="D398" s="7">
        <v>102676</v>
      </c>
      <c r="E398" s="10">
        <v>275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19">
        <f>IFERROR(INDEX(#REF!,MATCH($D398,#REF!,"")),"")</f>
      </c>
      <c r="AL398" s="19">
        <f>IFERROR(INDEX(#REF!,MATCH($D398,#REF!,"")),"")</f>
      </c>
      <c r="AM398" s="19">
        <f>IFERROR(INDEX(#REF!,MATCH($D398,#REF!,"")),"")</f>
      </c>
      <c r="AN398" s="19">
        <f>IFERROR(INDEX(#REF!,MATCH($D398,#REF!,0)),"")</f>
      </c>
    </row>
    <row x14ac:dyDescent="0.25" r="399" customHeight="1" ht="18.75">
      <c r="A399" s="7"/>
      <c r="B399" s="13"/>
      <c r="C399" s="9"/>
      <c r="D399" s="7"/>
      <c r="E399" s="1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19">
        <f>IFERROR(INDEX(#REF!,MATCH($D399,#REF!,"")),"")</f>
      </c>
      <c r="AC399" s="19">
        <f>IFERROR(INDEX(#REF!,MATCH($D399,#REF!,"")),"")</f>
      </c>
      <c r="AD399" s="19">
        <f>IFERROR(INDEX(#REF!,MATCH($D399,#REF!,"")),"")</f>
      </c>
      <c r="AE399" s="19">
        <f>IFERROR(INDEX(#REF!,MATCH($D399,#REF!,"")),"")</f>
      </c>
      <c r="AF399" s="19">
        <f>IFERROR(INDEX(#REF!,MATCH($D399,#REF!,"")),"")</f>
      </c>
      <c r="AG399" s="19">
        <f>IFERROR(INDEX(#REF!,MATCH($D399,#REF!,"")),"")</f>
      </c>
      <c r="AH399" s="19">
        <f>IFERROR(INDEX(#REF!,MATCH($D399,#REF!,"")),"")</f>
      </c>
      <c r="AI399" s="19">
        <f>IFERROR(INDEX(#REF!,MATCH($D399,#REF!,"")),"")</f>
      </c>
      <c r="AJ399" s="19">
        <f>IFERROR(INDEX(#REF!,MATCH($D399,#REF!,"")),"")</f>
      </c>
      <c r="AK399" s="19">
        <f>IFERROR(INDEX(#REF!,MATCH($D399,#REF!,"")),"")</f>
      </c>
      <c r="AL399" s="19">
        <f>IFERROR(INDEX(#REF!,MATCH($D399,#REF!,"")),"")</f>
      </c>
      <c r="AM399" s="19">
        <f>IFERROR(INDEX(#REF!,MATCH($D399,#REF!,"")),"")</f>
      </c>
      <c r="AN399" s="6"/>
    </row>
    <row x14ac:dyDescent="0.25" r="400" customHeight="1" ht="18.75">
      <c r="A400" s="7"/>
      <c r="B400" s="13"/>
      <c r="C400" s="9"/>
      <c r="D400" s="7"/>
      <c r="E400" s="1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19">
        <f>IFERROR(INDEX(#REF!,MATCH($D400,#REF!,"")),"")</f>
      </c>
      <c r="AC400" s="19">
        <f>IFERROR(INDEX(#REF!,MATCH($D400,#REF!,"")),"")</f>
      </c>
      <c r="AD400" s="19">
        <f>IFERROR(INDEX(#REF!,MATCH($D400,#REF!,"")),"")</f>
      </c>
      <c r="AE400" s="19">
        <f>IFERROR(INDEX(#REF!,MATCH($D400,#REF!,"")),"")</f>
      </c>
      <c r="AF400" s="19">
        <f>IFERROR(INDEX(#REF!,MATCH($D400,#REF!,"")),"")</f>
      </c>
      <c r="AG400" s="19">
        <f>IFERROR(INDEX(#REF!,MATCH($D400,#REF!,"")),"")</f>
      </c>
      <c r="AH400" s="19">
        <f>IFERROR(INDEX(#REF!,MATCH($D400,#REF!,"")),"")</f>
      </c>
      <c r="AI400" s="19">
        <f>IFERROR(INDEX(#REF!,MATCH($D400,#REF!,"")),"")</f>
      </c>
      <c r="AJ400" s="19">
        <f>IFERROR(INDEX(#REF!,MATCH($D400,#REF!,"")),"")</f>
      </c>
      <c r="AK400" s="19">
        <f>IFERROR(INDEX(#REF!,MATCH($D400,#REF!,"")),"")</f>
      </c>
      <c r="AL400" s="19">
        <f>IFERROR(INDEX(#REF!,MATCH($D400,#REF!,"")),"")</f>
      </c>
      <c r="AM400" s="19">
        <f>IFERROR(INDEX(#REF!,MATCH($D400,#REF!,"")),"")</f>
      </c>
      <c r="AN400" s="6"/>
    </row>
    <row x14ac:dyDescent="0.25" r="401" customHeight="1" ht="18.75">
      <c r="A401" s="7"/>
      <c r="B401" s="13"/>
      <c r="C401" s="9"/>
      <c r="D401" s="7"/>
      <c r="E401" s="1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19">
        <f>IFERROR(INDEX(#REF!,MATCH($D401,#REF!,"")),"")</f>
      </c>
      <c r="AG401" s="19">
        <f>IFERROR(INDEX(#REF!,MATCH($D401,#REF!,"")),"")</f>
      </c>
      <c r="AH401" s="19">
        <f>IFERROR(INDEX(#REF!,MATCH($D401,#REF!,"")),"")</f>
      </c>
      <c r="AI401" s="19">
        <f>IFERROR(INDEX(#REF!,MATCH($D401,#REF!,"")),"")</f>
      </c>
      <c r="AJ401" s="19">
        <f>IFERROR(INDEX(#REF!,MATCH($D401,#REF!,"")),"")</f>
      </c>
      <c r="AK401" s="19">
        <f>IFERROR(INDEX(#REF!,MATCH($D401,#REF!,"")),"")</f>
      </c>
      <c r="AL401" s="19">
        <f>IFERROR(INDEX(#REF!,MATCH($D401,#REF!,"")),"")</f>
      </c>
      <c r="AM401" s="19">
        <f>IFERROR(INDEX(#REF!,MATCH($D401,#REF!,"")),"")</f>
      </c>
      <c r="AN401" s="6"/>
    </row>
    <row x14ac:dyDescent="0.25" r="402" customHeight="1" ht="18.75">
      <c r="A402" s="7"/>
      <c r="B402" s="13"/>
      <c r="C402" s="9"/>
      <c r="D402" s="7"/>
      <c r="E402" s="1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19">
        <f>IFERROR(INDEX(#REF!,MATCH($D402,#REF!,"")),"")</f>
      </c>
      <c r="AG402" s="19">
        <f>IFERROR(INDEX(#REF!,MATCH($D402,#REF!,"")),"")</f>
      </c>
      <c r="AH402" s="19">
        <f>IFERROR(INDEX(#REF!,MATCH($D402,#REF!,"")),"")</f>
      </c>
      <c r="AI402" s="19">
        <f>IFERROR(INDEX(#REF!,MATCH($D402,#REF!,"")),"")</f>
      </c>
      <c r="AJ402" s="19">
        <f>IFERROR(INDEX(#REF!,MATCH($D402,#REF!,"")),"")</f>
      </c>
      <c r="AK402" s="19">
        <f>IFERROR(INDEX(#REF!,MATCH($D402,#REF!,"")),"")</f>
      </c>
      <c r="AL402" s="19">
        <f>IFERROR(INDEX(#REF!,MATCH($D402,#REF!,"")),"")</f>
      </c>
      <c r="AM402" s="19">
        <f>IFERROR(INDEX(#REF!,MATCH($D402,#REF!,"")),"")</f>
      </c>
      <c r="AN402" s="6"/>
    </row>
    <row x14ac:dyDescent="0.25" r="403" customHeight="1" ht="18.75">
      <c r="A403" s="7"/>
      <c r="B403" s="13"/>
      <c r="C403" s="9"/>
      <c r="D403" s="7"/>
      <c r="E403" s="1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19">
        <f>IFERROR(INDEX(#REF!,MATCH($D403,#REF!,"")),"")</f>
      </c>
      <c r="AG403" s="19">
        <f>IFERROR(INDEX(#REF!,MATCH($D403,#REF!,"")),"")</f>
      </c>
      <c r="AH403" s="19">
        <f>IFERROR(INDEX(#REF!,MATCH($D403,#REF!,"")),"")</f>
      </c>
      <c r="AI403" s="19">
        <f>IFERROR(INDEX(#REF!,MATCH($D403,#REF!,"")),"")</f>
      </c>
      <c r="AJ403" s="19">
        <f>IFERROR(INDEX(#REF!,MATCH($D403,#REF!,"")),"")</f>
      </c>
      <c r="AK403" s="19">
        <f>IFERROR(INDEX(#REF!,MATCH($D403,#REF!,"")),"")</f>
      </c>
      <c r="AL403" s="19">
        <f>IFERROR(INDEX(#REF!,MATCH($D403,#REF!,"")),"")</f>
      </c>
      <c r="AM403" s="19">
        <f>IFERROR(INDEX(#REF!,MATCH($D403,#REF!,"")),"")</f>
      </c>
      <c r="AN403" s="6"/>
    </row>
    <row x14ac:dyDescent="0.25" r="404" customHeight="1" ht="18.75">
      <c r="A404" s="7"/>
      <c r="B404" s="13"/>
      <c r="C404" s="9"/>
      <c r="D404" s="7"/>
      <c r="E404" s="1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19">
        <f>IFERROR(INDEX(#REF!,MATCH($D404,#REF!,"")),"")</f>
      </c>
      <c r="AG404" s="19">
        <f>IFERROR(INDEX(#REF!,MATCH($D404,#REF!,"")),"")</f>
      </c>
      <c r="AH404" s="19">
        <f>IFERROR(INDEX(#REF!,MATCH($D404,#REF!,"")),"")</f>
      </c>
      <c r="AI404" s="19">
        <f>IFERROR(INDEX(#REF!,MATCH($D404,#REF!,"")),"")</f>
      </c>
      <c r="AJ404" s="19">
        <f>IFERROR(INDEX(#REF!,MATCH($D404,#REF!,"")),"")</f>
      </c>
      <c r="AK404" s="19">
        <f>IFERROR(INDEX(#REF!,MATCH($D404,#REF!,"")),"")</f>
      </c>
      <c r="AL404" s="19">
        <f>IFERROR(INDEX(#REF!,MATCH($D404,#REF!,"")),"")</f>
      </c>
      <c r="AM404" s="19">
        <f>IFERROR(INDEX(#REF!,MATCH($D404,#REF!,"")),"")</f>
      </c>
      <c r="AN404" s="6"/>
    </row>
    <row x14ac:dyDescent="0.25" r="405" customHeight="1" ht="18.75">
      <c r="A405" s="7"/>
      <c r="B405" s="13"/>
      <c r="C405" s="9"/>
      <c r="D405" s="7"/>
      <c r="E405" s="1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19">
        <f>IFERROR(INDEX(#REF!,MATCH($D405,#REF!,"")),"")</f>
      </c>
      <c r="AG405" s="19">
        <f>IFERROR(INDEX(#REF!,MATCH($D405,#REF!,"")),"")</f>
      </c>
      <c r="AH405" s="19">
        <f>IFERROR(INDEX(#REF!,MATCH($D405,#REF!,"")),"")</f>
      </c>
      <c r="AI405" s="19">
        <f>IFERROR(INDEX(#REF!,MATCH($D405,#REF!,"")),"")</f>
      </c>
      <c r="AJ405" s="19">
        <f>IFERROR(INDEX(#REF!,MATCH($D405,#REF!,"")),"")</f>
      </c>
      <c r="AK405" s="19">
        <f>IFERROR(INDEX(#REF!,MATCH($D405,#REF!,"")),"")</f>
      </c>
      <c r="AL405" s="19">
        <f>IFERROR(INDEX(#REF!,MATCH($D405,#REF!,"")),"")</f>
      </c>
      <c r="AM405" s="19">
        <f>IFERROR(INDEX(#REF!,MATCH($D405,#REF!,"")),"")</f>
      </c>
      <c r="AN405" s="6"/>
    </row>
    <row x14ac:dyDescent="0.25" r="406" customHeight="1" ht="18.75">
      <c r="A406" s="7"/>
      <c r="B406" s="13"/>
      <c r="C406" s="9"/>
      <c r="D406" s="7"/>
      <c r="E406" s="1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19">
        <f>IFERROR(INDEX(#REF!,MATCH($D406,#REF!,"")),"")</f>
      </c>
      <c r="AG406" s="19">
        <f>IFERROR(INDEX(#REF!,MATCH($D406,#REF!,"")),"")</f>
      </c>
      <c r="AH406" s="19">
        <f>IFERROR(INDEX(#REF!,MATCH($D406,#REF!,"")),"")</f>
      </c>
      <c r="AI406" s="19">
        <f>IFERROR(INDEX(#REF!,MATCH($D406,#REF!,"")),"")</f>
      </c>
      <c r="AJ406" s="19">
        <f>IFERROR(INDEX(#REF!,MATCH($D406,#REF!,"")),"")</f>
      </c>
      <c r="AK406" s="19">
        <f>IFERROR(INDEX(#REF!,MATCH($D406,#REF!,"")),"")</f>
      </c>
      <c r="AL406" s="19">
        <f>IFERROR(INDEX(#REF!,MATCH($D406,#REF!,"")),"")</f>
      </c>
      <c r="AM406" s="19">
        <f>IFERROR(INDEX(#REF!,MATCH($D406,#REF!,"")),"")</f>
      </c>
      <c r="AN406" s="6"/>
    </row>
    <row x14ac:dyDescent="0.25" r="407" customHeight="1" ht="18.75">
      <c r="A407" s="7"/>
      <c r="B407" s="13"/>
      <c r="C407" s="9"/>
      <c r="D407" s="7"/>
      <c r="E407" s="1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19">
        <f>IFERROR(INDEX(#REF!,MATCH($D407,#REF!,"")),"")</f>
      </c>
      <c r="AG407" s="19">
        <f>IFERROR(INDEX(#REF!,MATCH($D407,#REF!,"")),"")</f>
      </c>
      <c r="AH407" s="19">
        <f>IFERROR(INDEX(#REF!,MATCH($D407,#REF!,"")),"")</f>
      </c>
      <c r="AI407" s="19">
        <f>IFERROR(INDEX(#REF!,MATCH($D407,#REF!,"")),"")</f>
      </c>
      <c r="AJ407" s="19">
        <f>IFERROR(INDEX(#REF!,MATCH($D407,#REF!,"")),"")</f>
      </c>
      <c r="AK407" s="19">
        <f>IFERROR(INDEX(#REF!,MATCH($D407,#REF!,"")),"")</f>
      </c>
      <c r="AL407" s="19">
        <f>IFERROR(INDEX(#REF!,MATCH($D407,#REF!,"")),"")</f>
      </c>
      <c r="AM407" s="19">
        <f>IFERROR(INDEX(#REF!,MATCH($D407,#REF!,"")),"")</f>
      </c>
      <c r="AN407" s="6"/>
    </row>
    <row x14ac:dyDescent="0.25" r="408" customHeight="1" ht="18.75">
      <c r="A408" s="7"/>
      <c r="B408" s="13"/>
      <c r="C408" s="9"/>
      <c r="D408" s="7"/>
      <c r="E408" s="1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19">
        <f>IFERROR(INDEX(#REF!,MATCH($D408,#REF!,"")),"")</f>
      </c>
      <c r="AG408" s="19">
        <f>IFERROR(INDEX(#REF!,MATCH($D408,#REF!,"")),"")</f>
      </c>
      <c r="AH408" s="19">
        <f>IFERROR(INDEX(#REF!,MATCH($D408,#REF!,"")),"")</f>
      </c>
      <c r="AI408" s="19">
        <f>IFERROR(INDEX(#REF!,MATCH($D408,#REF!,"")),"")</f>
      </c>
      <c r="AJ408" s="19">
        <f>IFERROR(INDEX(#REF!,MATCH($D408,#REF!,"")),"")</f>
      </c>
      <c r="AK408" s="19">
        <f>IFERROR(INDEX(#REF!,MATCH($D408,#REF!,"")),"")</f>
      </c>
      <c r="AL408" s="19">
        <f>IFERROR(INDEX(#REF!,MATCH($D408,#REF!,"")),"")</f>
      </c>
      <c r="AM408" s="19">
        <f>IFERROR(INDEX(#REF!,MATCH($D408,#REF!,"")),"")</f>
      </c>
      <c r="AN408" s="6"/>
    </row>
    <row x14ac:dyDescent="0.25" r="409" customHeight="1" ht="18.75">
      <c r="A409" s="7"/>
      <c r="B409" s="13"/>
      <c r="C409" s="9"/>
      <c r="D409" s="7"/>
      <c r="E409" s="1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19">
        <f>IFERROR(INDEX(#REF!,MATCH($D409,#REF!,"")),"")</f>
      </c>
      <c r="AG409" s="19">
        <f>IFERROR(INDEX(#REF!,MATCH($D409,#REF!,"")),"")</f>
      </c>
      <c r="AH409" s="19">
        <f>IFERROR(INDEX(#REF!,MATCH($D409,#REF!,"")),"")</f>
      </c>
      <c r="AI409" s="19">
        <f>IFERROR(INDEX(#REF!,MATCH($D409,#REF!,"")),"")</f>
      </c>
      <c r="AJ409" s="19">
        <f>IFERROR(INDEX(#REF!,MATCH($D409,#REF!,"")),"")</f>
      </c>
      <c r="AK409" s="19">
        <f>IFERROR(INDEX(#REF!,MATCH($D409,#REF!,"")),"")</f>
      </c>
      <c r="AL409" s="19">
        <f>IFERROR(INDEX(#REF!,MATCH($D409,#REF!,"")),"")</f>
      </c>
      <c r="AM409" s="19">
        <f>IFERROR(INDEX(#REF!,MATCH($D409,#REF!,"")),"")</f>
      </c>
      <c r="AN409" s="6"/>
    </row>
    <row x14ac:dyDescent="0.25" r="410" customHeight="1" ht="18.75">
      <c r="A410" s="7"/>
      <c r="B410" s="13"/>
      <c r="C410" s="9"/>
      <c r="D410" s="7"/>
      <c r="E410" s="1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19">
        <f>IFERROR(INDEX(#REF!,MATCH($D410,#REF!,"")),"")</f>
      </c>
      <c r="AG410" s="19">
        <f>IFERROR(INDEX(#REF!,MATCH($D410,#REF!,"")),"")</f>
      </c>
      <c r="AH410" s="19">
        <f>IFERROR(INDEX(#REF!,MATCH($D410,#REF!,"")),"")</f>
      </c>
      <c r="AI410" s="19">
        <f>IFERROR(INDEX(#REF!,MATCH($D410,#REF!,"")),"")</f>
      </c>
      <c r="AJ410" s="19">
        <f>IFERROR(INDEX(#REF!,MATCH($D410,#REF!,"")),"")</f>
      </c>
      <c r="AK410" s="19">
        <f>IFERROR(INDEX(#REF!,MATCH($D410,#REF!,"")),"")</f>
      </c>
      <c r="AL410" s="19">
        <f>IFERROR(INDEX(#REF!,MATCH($D410,#REF!,"")),"")</f>
      </c>
      <c r="AM410" s="19">
        <f>IFERROR(INDEX(#REF!,MATCH($D410,#REF!,"")),"")</f>
      </c>
      <c r="AN410" s="6"/>
    </row>
    <row x14ac:dyDescent="0.25" r="411" customHeight="1" ht="18.75">
      <c r="A411" s="7"/>
      <c r="B411" s="13"/>
      <c r="C411" s="9"/>
      <c r="D411" s="7"/>
      <c r="E411" s="1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19">
        <f>IFERROR(INDEX(#REF!,MATCH($D411,#REF!,"")),"")</f>
      </c>
      <c r="AG411" s="19">
        <f>IFERROR(INDEX(#REF!,MATCH($D411,#REF!,"")),"")</f>
      </c>
      <c r="AH411" s="19">
        <f>IFERROR(INDEX(#REF!,MATCH($D411,#REF!,"")),"")</f>
      </c>
      <c r="AI411" s="19">
        <f>IFERROR(INDEX(#REF!,MATCH($D411,#REF!,"")),"")</f>
      </c>
      <c r="AJ411" s="19">
        <f>IFERROR(INDEX(#REF!,MATCH($D411,#REF!,"")),"")</f>
      </c>
      <c r="AK411" s="19">
        <f>IFERROR(INDEX(#REF!,MATCH($D411,#REF!,"")),"")</f>
      </c>
      <c r="AL411" s="19">
        <f>IFERROR(INDEX(#REF!,MATCH($D411,#REF!,"")),"")</f>
      </c>
      <c r="AM411" s="19">
        <f>IFERROR(INDEX(#REF!,MATCH($D411,#REF!,"")),"")</f>
      </c>
      <c r="AN411" s="6"/>
    </row>
    <row x14ac:dyDescent="0.25" r="412" customHeight="1" ht="18.75">
      <c r="A412" s="7"/>
      <c r="B412" s="13"/>
      <c r="C412" s="9"/>
      <c r="D412" s="7"/>
      <c r="E412" s="1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19">
        <f>IFERROR(INDEX(#REF!,MATCH($D412,#REF!,"")),"")</f>
      </c>
      <c r="AG412" s="19">
        <f>IFERROR(INDEX(#REF!,MATCH($D412,#REF!,"")),"")</f>
      </c>
      <c r="AH412" s="19">
        <f>IFERROR(INDEX(#REF!,MATCH($D412,#REF!,"")),"")</f>
      </c>
      <c r="AI412" s="19">
        <f>IFERROR(INDEX(#REF!,MATCH($D412,#REF!,"")),"")</f>
      </c>
      <c r="AJ412" s="19">
        <f>IFERROR(INDEX(#REF!,MATCH($D412,#REF!,"")),"")</f>
      </c>
      <c r="AK412" s="19">
        <f>IFERROR(INDEX(#REF!,MATCH($D412,#REF!,"")),"")</f>
      </c>
      <c r="AL412" s="19">
        <f>IFERROR(INDEX(#REF!,MATCH($D412,#REF!,"")),"")</f>
      </c>
      <c r="AM412" s="19">
        <f>IFERROR(INDEX(#REF!,MATCH($D412,#REF!,"")),"")</f>
      </c>
      <c r="AN412" s="6"/>
    </row>
    <row x14ac:dyDescent="0.25" r="413" customHeight="1" ht="18.75">
      <c r="A413" s="7"/>
      <c r="B413" s="13"/>
      <c r="C413" s="9"/>
      <c r="D413" s="7"/>
      <c r="E413" s="1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19">
        <f>IFERROR(INDEX(#REF!,MATCH($D413,#REF!,"")),"")</f>
      </c>
      <c r="AG413" s="19">
        <f>IFERROR(INDEX(#REF!,MATCH($D413,#REF!,"")),"")</f>
      </c>
      <c r="AH413" s="19">
        <f>IFERROR(INDEX(#REF!,MATCH($D413,#REF!,"")),"")</f>
      </c>
      <c r="AI413" s="19">
        <f>IFERROR(INDEX(#REF!,MATCH($D413,#REF!,"")),"")</f>
      </c>
      <c r="AJ413" s="19">
        <f>IFERROR(INDEX(#REF!,MATCH($D413,#REF!,"")),"")</f>
      </c>
      <c r="AK413" s="19">
        <f>IFERROR(INDEX(#REF!,MATCH($D413,#REF!,"")),"")</f>
      </c>
      <c r="AL413" s="19">
        <f>IFERROR(INDEX(#REF!,MATCH($D413,#REF!,"")),"")</f>
      </c>
      <c r="AM413" s="19">
        <f>IFERROR(INDEX(#REF!,MATCH($D413,#REF!,"")),"")</f>
      </c>
      <c r="AN413" s="6"/>
    </row>
    <row x14ac:dyDescent="0.25" r="414" customHeight="1" ht="18.75">
      <c r="A414" s="7"/>
      <c r="B414" s="13"/>
      <c r="C414" s="9"/>
      <c r="D414" s="7"/>
      <c r="E414" s="1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19">
        <f>IFERROR(INDEX(#REF!,MATCH($D414,#REF!,"")),"")</f>
      </c>
      <c r="AG414" s="19">
        <f>IFERROR(INDEX(#REF!,MATCH($D414,#REF!,"")),"")</f>
      </c>
      <c r="AH414" s="19">
        <f>IFERROR(INDEX(#REF!,MATCH($D414,#REF!,"")),"")</f>
      </c>
      <c r="AI414" s="19">
        <f>IFERROR(INDEX(#REF!,MATCH($D414,#REF!,"")),"")</f>
      </c>
      <c r="AJ414" s="19">
        <f>IFERROR(INDEX(#REF!,MATCH($D414,#REF!,"")),"")</f>
      </c>
      <c r="AK414" s="19">
        <f>IFERROR(INDEX(#REF!,MATCH($D414,#REF!,"")),"")</f>
      </c>
      <c r="AL414" s="19">
        <f>IFERROR(INDEX(#REF!,MATCH($D414,#REF!,"")),"")</f>
      </c>
      <c r="AM414" s="19">
        <f>IFERROR(INDEX(#REF!,MATCH($D414,#REF!,"")),"")</f>
      </c>
      <c r="AN414" s="6"/>
    </row>
    <row x14ac:dyDescent="0.25" r="415" customHeight="1" ht="18.75">
      <c r="A415" s="7"/>
      <c r="B415" s="13"/>
      <c r="C415" s="9"/>
      <c r="D415" s="7"/>
      <c r="E415" s="1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19">
        <f>IFERROR(INDEX(#REF!,MATCH($D415,#REF!,"")),"")</f>
      </c>
      <c r="AG415" s="19">
        <f>IFERROR(INDEX(#REF!,MATCH($D415,#REF!,"")),"")</f>
      </c>
      <c r="AH415" s="19">
        <f>IFERROR(INDEX(#REF!,MATCH($D415,#REF!,"")),"")</f>
      </c>
      <c r="AI415" s="19">
        <f>IFERROR(INDEX(#REF!,MATCH($D415,#REF!,"")),"")</f>
      </c>
      <c r="AJ415" s="19">
        <f>IFERROR(INDEX(#REF!,MATCH($D415,#REF!,"")),"")</f>
      </c>
      <c r="AK415" s="19">
        <f>IFERROR(INDEX(#REF!,MATCH($D415,#REF!,"")),"")</f>
      </c>
      <c r="AL415" s="19">
        <f>IFERROR(INDEX(#REF!,MATCH($D415,#REF!,"")),"")</f>
      </c>
      <c r="AM415" s="19">
        <f>IFERROR(INDEX(#REF!,MATCH($D415,#REF!,"")),"")</f>
      </c>
      <c r="AN415" s="6"/>
    </row>
    <row x14ac:dyDescent="0.25" r="416" customHeight="1" ht="18.75">
      <c r="A416" s="7"/>
      <c r="B416" s="13"/>
      <c r="C416" s="9"/>
      <c r="D416" s="7"/>
      <c r="E416" s="1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19">
        <f>IFERROR(INDEX(#REF!,MATCH($D416,#REF!,"")),"")</f>
      </c>
      <c r="AG416" s="19">
        <f>IFERROR(INDEX(#REF!,MATCH($D416,#REF!,"")),"")</f>
      </c>
      <c r="AH416" s="19">
        <f>IFERROR(INDEX(#REF!,MATCH($D416,#REF!,"")),"")</f>
      </c>
      <c r="AI416" s="19">
        <f>IFERROR(INDEX(#REF!,MATCH($D416,#REF!,"")),"")</f>
      </c>
      <c r="AJ416" s="19">
        <f>IFERROR(INDEX(#REF!,MATCH($D416,#REF!,"")),"")</f>
      </c>
      <c r="AK416" s="19">
        <f>IFERROR(INDEX(#REF!,MATCH($D416,#REF!,"")),"")</f>
      </c>
      <c r="AL416" s="19">
        <f>IFERROR(INDEX(#REF!,MATCH($D416,#REF!,"")),"")</f>
      </c>
      <c r="AM416" s="19">
        <f>IFERROR(INDEX(#REF!,MATCH($D416,#REF!,"")),"")</f>
      </c>
      <c r="AN416" s="6"/>
    </row>
    <row x14ac:dyDescent="0.25" r="417" customHeight="1" ht="18.75">
      <c r="A417" s="7"/>
      <c r="B417" s="13"/>
      <c r="C417" s="9"/>
      <c r="D417" s="7"/>
      <c r="E417" s="1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19">
        <f>IFERROR(INDEX(#REF!,MATCH($D417,#REF!,"")),"")</f>
      </c>
      <c r="AG417" s="19">
        <f>IFERROR(INDEX(#REF!,MATCH($D417,#REF!,"")),"")</f>
      </c>
      <c r="AH417" s="19">
        <f>IFERROR(INDEX(#REF!,MATCH($D417,#REF!,"")),"")</f>
      </c>
      <c r="AI417" s="19">
        <f>IFERROR(INDEX(#REF!,MATCH($D417,#REF!,"")),"")</f>
      </c>
      <c r="AJ417" s="19">
        <f>IFERROR(INDEX(#REF!,MATCH($D417,#REF!,"")),"")</f>
      </c>
      <c r="AK417" s="19">
        <f>IFERROR(INDEX(#REF!,MATCH($D417,#REF!,"")),"")</f>
      </c>
      <c r="AL417" s="19">
        <f>IFERROR(INDEX(#REF!,MATCH($D417,#REF!,"")),"")</f>
      </c>
      <c r="AM417" s="19">
        <f>IFERROR(INDEX(#REF!,MATCH($D417,#REF!,"")),"")</f>
      </c>
      <c r="AN417" s="6"/>
    </row>
    <row x14ac:dyDescent="0.25" r="418" customHeight="1" ht="18.75">
      <c r="A418" s="7"/>
      <c r="B418" s="13"/>
      <c r="C418" s="9"/>
      <c r="D418" s="7"/>
      <c r="E418" s="1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19">
        <f>IFERROR(INDEX(#REF!,MATCH($D418,#REF!,"")),"")</f>
      </c>
      <c r="AG418" s="19">
        <f>IFERROR(INDEX(#REF!,MATCH($D418,#REF!,"")),"")</f>
      </c>
      <c r="AH418" s="19">
        <f>IFERROR(INDEX(#REF!,MATCH($D418,#REF!,"")),"")</f>
      </c>
      <c r="AI418" s="19">
        <f>IFERROR(INDEX(#REF!,MATCH($D418,#REF!,"")),"")</f>
      </c>
      <c r="AJ418" s="19">
        <f>IFERROR(INDEX(#REF!,MATCH($D418,#REF!,"")),"")</f>
      </c>
      <c r="AK418" s="19">
        <f>IFERROR(INDEX(#REF!,MATCH($D418,#REF!,"")),"")</f>
      </c>
      <c r="AL418" s="19">
        <f>IFERROR(INDEX(#REF!,MATCH($D418,#REF!,"")),"")</f>
      </c>
      <c r="AM418" s="19">
        <f>IFERROR(INDEX(#REF!,MATCH($D418,#REF!,"")),"")</f>
      </c>
      <c r="AN418" s="6"/>
    </row>
    <row x14ac:dyDescent="0.25" r="419" customHeight="1" ht="18.75">
      <c r="A419" s="7"/>
      <c r="B419" s="13"/>
      <c r="C419" s="9"/>
      <c r="D419" s="7"/>
      <c r="E419" s="1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19">
        <f>IFERROR(INDEX(#REF!,MATCH($D419,#REF!,"")),"")</f>
      </c>
      <c r="AG419" s="19">
        <f>IFERROR(INDEX(#REF!,MATCH($D419,#REF!,"")),"")</f>
      </c>
      <c r="AH419" s="19">
        <f>IFERROR(INDEX(#REF!,MATCH($D419,#REF!,"")),"")</f>
      </c>
      <c r="AI419" s="19">
        <f>IFERROR(INDEX(#REF!,MATCH($D419,#REF!,"")),"")</f>
      </c>
      <c r="AJ419" s="19">
        <f>IFERROR(INDEX(#REF!,MATCH($D419,#REF!,"")),"")</f>
      </c>
      <c r="AK419" s="19">
        <f>IFERROR(INDEX(#REF!,MATCH($D419,#REF!,"")),"")</f>
      </c>
      <c r="AL419" s="19">
        <f>IFERROR(INDEX(#REF!,MATCH($D419,#REF!,"")),"")</f>
      </c>
      <c r="AM419" s="19">
        <f>IFERROR(INDEX(#REF!,MATCH($D419,#REF!,"")),"")</f>
      </c>
      <c r="AN4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80"/>
  <sheetViews>
    <sheetView workbookViewId="0" tabSelected="1"/>
  </sheetViews>
  <sheetFormatPr defaultRowHeight="15" x14ac:dyDescent="0.25"/>
  <cols>
    <col min="1" max="1" style="24" width="15.005" customWidth="1" bestFit="1"/>
    <col min="2" max="2" style="24" width="19.719285714285714" customWidth="1" bestFit="1"/>
    <col min="3" max="3" style="33" width="11.719285714285713" customWidth="1" bestFit="1"/>
    <col min="4" max="4" style="24" width="11.719285714285713" customWidth="1" bestFit="1"/>
    <col min="5" max="5" style="21" width="15.290714285714287" customWidth="1" bestFit="1"/>
    <col min="6" max="6" style="24" width="19.433571428571426" customWidth="1" bestFit="1"/>
    <col min="7" max="7" style="24" width="15.005" customWidth="1" bestFit="1"/>
    <col min="8" max="8" style="34" width="14.43357142857143" customWidth="1" bestFit="1"/>
    <col min="9" max="9" style="20" width="13.576428571428572" customWidth="1" bestFit="1"/>
    <col min="10" max="10" style="20" width="11.43357142857143" customWidth="1" bestFit="1"/>
    <col min="11" max="11" style="35" width="7.2907142857142855" customWidth="1" bestFit="1"/>
    <col min="12" max="12" style="20" width="14.862142857142858" customWidth="1" bestFit="1"/>
    <col min="13" max="13" style="20" width="12.576428571428572" customWidth="1" bestFit="1"/>
    <col min="14" max="14" style="20" width="13.43357142857143" customWidth="1" bestFit="1"/>
    <col min="15" max="15" style="20" width="11.005" customWidth="1" bestFit="1"/>
    <col min="16" max="16" style="20" width="9.005" customWidth="1" bestFit="1"/>
    <col min="17" max="17" style="20" width="11.005" customWidth="1" bestFit="1"/>
    <col min="18" max="18" style="20" width="14.43357142857143" customWidth="1" bestFit="1"/>
    <col min="19" max="19" style="20" width="13.576428571428572" customWidth="1" bestFit="1"/>
    <col min="20" max="20" style="20" width="13.576428571428572" customWidth="1" bestFit="1"/>
  </cols>
  <sheetData>
    <row x14ac:dyDescent="0.25" r="1" customHeight="1" ht="18.75">
      <c r="A1" s="5" t="s">
        <v>22</v>
      </c>
      <c r="B1" s="5" t="s">
        <v>23</v>
      </c>
      <c r="C1" s="25" t="s">
        <v>24</v>
      </c>
      <c r="D1" s="5" t="s">
        <v>25</v>
      </c>
      <c r="E1" s="2" t="s">
        <v>26</v>
      </c>
      <c r="F1" s="5" t="s">
        <v>27</v>
      </c>
      <c r="G1" s="5" t="s">
        <v>28</v>
      </c>
      <c r="H1" s="1" t="s">
        <v>29</v>
      </c>
      <c r="I1" s="1" t="s">
        <v>30</v>
      </c>
      <c r="J1" s="1" t="s">
        <v>31</v>
      </c>
      <c r="K1" s="5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</row>
    <row x14ac:dyDescent="0.25" r="2" customHeight="1" ht="19.5">
      <c r="A2" s="6" t="s">
        <v>42</v>
      </c>
      <c r="B2" s="6" t="s">
        <v>43</v>
      </c>
      <c r="C2" s="26" t="s">
        <v>44</v>
      </c>
      <c r="D2" s="27" t="s">
        <v>45</v>
      </c>
      <c r="E2" s="28">
        <v>47483</v>
      </c>
      <c r="F2" s="6" t="s">
        <v>46</v>
      </c>
      <c r="G2" s="6" t="s">
        <v>47</v>
      </c>
      <c r="H2" s="29">
        <v>660</v>
      </c>
      <c r="I2" s="7">
        <v>60</v>
      </c>
      <c r="J2" s="7">
        <v>6</v>
      </c>
      <c r="K2" s="7">
        <f>rounddown(H2/I2, 0)</f>
      </c>
      <c r="L2" s="30">
        <v>10.56</v>
      </c>
      <c r="M2" s="7">
        <v>65</v>
      </c>
      <c r="N2" s="7">
        <v>1</v>
      </c>
      <c r="O2" s="7">
        <v>11</v>
      </c>
      <c r="P2" s="30">
        <v>1.9</v>
      </c>
      <c r="Q2" s="30">
        <v>0.4</v>
      </c>
      <c r="R2" s="31">
        <v>2</v>
      </c>
      <c r="S2" s="31">
        <v>0</v>
      </c>
      <c r="T2" s="31">
        <v>1</v>
      </c>
    </row>
    <row x14ac:dyDescent="0.25" r="3" customHeight="1" ht="19.5">
      <c r="A3" s="6" t="s">
        <v>42</v>
      </c>
      <c r="B3" s="6" t="s">
        <v>43</v>
      </c>
      <c r="C3" s="26" t="s">
        <v>48</v>
      </c>
      <c r="D3" s="27" t="s">
        <v>49</v>
      </c>
      <c r="E3" s="28">
        <v>47483</v>
      </c>
      <c r="F3" s="27" t="s">
        <v>46</v>
      </c>
      <c r="G3" s="6" t="s">
        <v>47</v>
      </c>
      <c r="H3" s="7">
        <v>13</v>
      </c>
      <c r="I3" s="7">
        <v>60</v>
      </c>
      <c r="J3" s="7">
        <v>6</v>
      </c>
      <c r="K3" s="7">
        <f>rounddown(H3/I3, 0)</f>
      </c>
      <c r="L3" s="30">
        <v>10.56</v>
      </c>
      <c r="M3" s="7">
        <v>65</v>
      </c>
      <c r="N3" s="7">
        <v>1</v>
      </c>
      <c r="O3" s="7">
        <v>11</v>
      </c>
      <c r="P3" s="30">
        <v>1.9</v>
      </c>
      <c r="Q3" s="30">
        <v>0.4</v>
      </c>
      <c r="R3" s="31">
        <v>2</v>
      </c>
      <c r="S3" s="7">
        <v>0</v>
      </c>
      <c r="T3" s="7">
        <v>0</v>
      </c>
    </row>
    <row x14ac:dyDescent="0.25" r="4" customHeight="1" ht="19.5">
      <c r="A4" s="6" t="s">
        <v>42</v>
      </c>
      <c r="B4" s="6" t="s">
        <v>43</v>
      </c>
      <c r="C4" s="26" t="s">
        <v>50</v>
      </c>
      <c r="D4" s="27" t="s">
        <v>51</v>
      </c>
      <c r="E4" s="28">
        <v>47483</v>
      </c>
      <c r="F4" s="27" t="s">
        <v>46</v>
      </c>
      <c r="G4" s="6" t="s">
        <v>47</v>
      </c>
      <c r="H4" s="7">
        <v>8</v>
      </c>
      <c r="I4" s="7">
        <v>60</v>
      </c>
      <c r="J4" s="7">
        <v>6</v>
      </c>
      <c r="K4" s="7">
        <f>rounddown(H4/I4, 0)</f>
      </c>
      <c r="L4" s="30">
        <v>10.56</v>
      </c>
      <c r="M4" s="7">
        <v>65</v>
      </c>
      <c r="N4" s="7">
        <v>1</v>
      </c>
      <c r="O4" s="7">
        <v>11</v>
      </c>
      <c r="P4" s="30">
        <v>1.9</v>
      </c>
      <c r="Q4" s="30">
        <v>0.4</v>
      </c>
      <c r="R4" s="31">
        <v>2</v>
      </c>
      <c r="S4" s="7">
        <v>0</v>
      </c>
      <c r="T4" s="7">
        <v>1</v>
      </c>
    </row>
    <row x14ac:dyDescent="0.25" r="5" customHeight="1" ht="19.5">
      <c r="A5" s="6" t="s">
        <v>42</v>
      </c>
      <c r="B5" s="6" t="s">
        <v>43</v>
      </c>
      <c r="C5" s="26" t="s">
        <v>52</v>
      </c>
      <c r="D5" s="27" t="s">
        <v>53</v>
      </c>
      <c r="E5" s="28">
        <v>47483</v>
      </c>
      <c r="F5" s="6" t="s">
        <v>46</v>
      </c>
      <c r="G5" s="6" t="s">
        <v>47</v>
      </c>
      <c r="H5" s="29">
        <v>39</v>
      </c>
      <c r="I5" s="7">
        <v>60</v>
      </c>
      <c r="J5" s="7">
        <v>6</v>
      </c>
      <c r="K5" s="7">
        <f>rounddown(H5/I5, 0)</f>
      </c>
      <c r="L5" s="30">
        <v>10.56</v>
      </c>
      <c r="M5" s="7">
        <v>65</v>
      </c>
      <c r="N5" s="7">
        <v>1</v>
      </c>
      <c r="O5" s="7">
        <v>11</v>
      </c>
      <c r="P5" s="30">
        <v>1.9</v>
      </c>
      <c r="Q5" s="30">
        <v>0.4</v>
      </c>
      <c r="R5" s="31">
        <v>2</v>
      </c>
      <c r="S5" s="31">
        <v>0</v>
      </c>
      <c r="T5" s="31">
        <v>0</v>
      </c>
    </row>
    <row x14ac:dyDescent="0.25" r="6" customHeight="1" ht="19.5">
      <c r="A6" s="6" t="s">
        <v>54</v>
      </c>
      <c r="B6" s="6" t="s">
        <v>55</v>
      </c>
      <c r="C6" s="26" t="s">
        <v>56</v>
      </c>
      <c r="D6" s="27" t="s">
        <v>57</v>
      </c>
      <c r="E6" s="28">
        <v>46028</v>
      </c>
      <c r="F6" s="6" t="s">
        <v>46</v>
      </c>
      <c r="G6" s="6" t="s">
        <v>58</v>
      </c>
      <c r="H6" s="29">
        <v>625</v>
      </c>
      <c r="I6" s="7">
        <v>72</v>
      </c>
      <c r="J6" s="7">
        <v>12</v>
      </c>
      <c r="K6" s="7">
        <f>rounddown(H6/I6, 0)</f>
      </c>
      <c r="L6" s="7">
        <v>12</v>
      </c>
      <c r="M6" s="7">
        <v>47</v>
      </c>
      <c r="N6" s="30">
        <v>4.9</v>
      </c>
      <c r="O6" s="30">
        <v>3.2</v>
      </c>
      <c r="P6" s="30">
        <v>1.6</v>
      </c>
      <c r="Q6" s="30">
        <v>4.9</v>
      </c>
      <c r="R6" s="31">
        <v>0</v>
      </c>
      <c r="S6" s="31">
        <v>0</v>
      </c>
      <c r="T6" s="31">
        <v>0</v>
      </c>
    </row>
    <row x14ac:dyDescent="0.25" r="7" customHeight="1" ht="19.5">
      <c r="A7" s="6" t="s">
        <v>54</v>
      </c>
      <c r="B7" s="6" t="s">
        <v>55</v>
      </c>
      <c r="C7" s="26" t="s">
        <v>59</v>
      </c>
      <c r="D7" s="27" t="s">
        <v>57</v>
      </c>
      <c r="E7" s="28">
        <v>46029</v>
      </c>
      <c r="F7" s="6" t="s">
        <v>46</v>
      </c>
      <c r="G7" s="6" t="s">
        <v>58</v>
      </c>
      <c r="H7" s="29">
        <v>1673</v>
      </c>
      <c r="I7" s="7">
        <v>72</v>
      </c>
      <c r="J7" s="7">
        <v>12</v>
      </c>
      <c r="K7" s="7">
        <f>rounddown(H7/I7, 0)</f>
      </c>
      <c r="L7" s="7">
        <v>12</v>
      </c>
      <c r="M7" s="7">
        <v>47</v>
      </c>
      <c r="N7" s="30">
        <v>4.9</v>
      </c>
      <c r="O7" s="30">
        <v>3.2</v>
      </c>
      <c r="P7" s="30">
        <v>1.6</v>
      </c>
      <c r="Q7" s="30">
        <v>4.9</v>
      </c>
      <c r="R7" s="31">
        <v>0</v>
      </c>
      <c r="S7" s="31">
        <v>0</v>
      </c>
      <c r="T7" s="31">
        <v>0</v>
      </c>
    </row>
    <row x14ac:dyDescent="0.25" r="8" customHeight="1" ht="19.5">
      <c r="A8" s="6" t="s">
        <v>54</v>
      </c>
      <c r="B8" s="6" t="s">
        <v>55</v>
      </c>
      <c r="C8" s="26" t="s">
        <v>60</v>
      </c>
      <c r="D8" s="27" t="s">
        <v>61</v>
      </c>
      <c r="E8" s="28">
        <v>46035</v>
      </c>
      <c r="F8" s="6" t="s">
        <v>46</v>
      </c>
      <c r="G8" s="6" t="s">
        <v>58</v>
      </c>
      <c r="H8" s="29">
        <v>2304</v>
      </c>
      <c r="I8" s="7">
        <v>72</v>
      </c>
      <c r="J8" s="7">
        <v>12</v>
      </c>
      <c r="K8" s="7">
        <f>rounddown(H8/I8, 0)</f>
      </c>
      <c r="L8" s="7">
        <v>12</v>
      </c>
      <c r="M8" s="7">
        <v>47</v>
      </c>
      <c r="N8" s="30">
        <v>4.9</v>
      </c>
      <c r="O8" s="30">
        <v>3.2</v>
      </c>
      <c r="P8" s="30">
        <v>1.6</v>
      </c>
      <c r="Q8" s="30">
        <v>4.9</v>
      </c>
      <c r="R8" s="31">
        <v>0</v>
      </c>
      <c r="S8" s="31">
        <v>0</v>
      </c>
      <c r="T8" s="31">
        <v>0</v>
      </c>
    </row>
    <row x14ac:dyDescent="0.25" r="9" customHeight="1" ht="19.5">
      <c r="A9" s="6" t="s">
        <v>54</v>
      </c>
      <c r="B9" s="6" t="s">
        <v>55</v>
      </c>
      <c r="C9" s="26" t="s">
        <v>62</v>
      </c>
      <c r="D9" s="27" t="s">
        <v>63</v>
      </c>
      <c r="E9" s="28">
        <v>46044</v>
      </c>
      <c r="F9" s="6" t="s">
        <v>46</v>
      </c>
      <c r="G9" s="6" t="s">
        <v>58</v>
      </c>
      <c r="H9" s="29">
        <v>2178</v>
      </c>
      <c r="I9" s="7">
        <v>72</v>
      </c>
      <c r="J9" s="7">
        <v>12</v>
      </c>
      <c r="K9" s="7">
        <f>rounddown(H9/I9, 0)</f>
      </c>
      <c r="L9" s="7">
        <v>12</v>
      </c>
      <c r="M9" s="7">
        <v>47</v>
      </c>
      <c r="N9" s="30">
        <v>4.9</v>
      </c>
      <c r="O9" s="30">
        <v>3.2</v>
      </c>
      <c r="P9" s="30">
        <v>1.6</v>
      </c>
      <c r="Q9" s="30">
        <v>4.9</v>
      </c>
      <c r="R9" s="31">
        <v>0</v>
      </c>
      <c r="S9" s="31">
        <v>0</v>
      </c>
      <c r="T9" s="31">
        <v>0</v>
      </c>
    </row>
    <row x14ac:dyDescent="0.25" r="10" customHeight="1" ht="19.5">
      <c r="A10" s="6" t="s">
        <v>54</v>
      </c>
      <c r="B10" s="6" t="s">
        <v>55</v>
      </c>
      <c r="C10" s="26" t="s">
        <v>64</v>
      </c>
      <c r="D10" s="27" t="s">
        <v>63</v>
      </c>
      <c r="E10" s="28">
        <v>46045</v>
      </c>
      <c r="F10" s="6" t="s">
        <v>46</v>
      </c>
      <c r="G10" s="6" t="s">
        <v>58</v>
      </c>
      <c r="H10" s="29">
        <v>126</v>
      </c>
      <c r="I10" s="7">
        <v>72</v>
      </c>
      <c r="J10" s="7">
        <v>12</v>
      </c>
      <c r="K10" s="7">
        <f>rounddown(H10/I10, 0)</f>
      </c>
      <c r="L10" s="7">
        <v>12</v>
      </c>
      <c r="M10" s="7">
        <v>47</v>
      </c>
      <c r="N10" s="30">
        <v>4.9</v>
      </c>
      <c r="O10" s="30">
        <v>3.2</v>
      </c>
      <c r="P10" s="30">
        <v>1.6</v>
      </c>
      <c r="Q10" s="30">
        <v>4.9</v>
      </c>
      <c r="R10" s="31">
        <v>0</v>
      </c>
      <c r="S10" s="31">
        <v>0</v>
      </c>
      <c r="T10" s="31">
        <v>1</v>
      </c>
    </row>
    <row x14ac:dyDescent="0.25" r="11" customHeight="1" ht="19.5">
      <c r="A11" s="6" t="s">
        <v>54</v>
      </c>
      <c r="B11" s="6" t="s">
        <v>55</v>
      </c>
      <c r="C11" s="26" t="s">
        <v>65</v>
      </c>
      <c r="D11" s="27" t="s">
        <v>66</v>
      </c>
      <c r="E11" s="28">
        <v>46048</v>
      </c>
      <c r="F11" s="6" t="s">
        <v>46</v>
      </c>
      <c r="G11" s="6" t="s">
        <v>58</v>
      </c>
      <c r="H11" s="29">
        <v>2304</v>
      </c>
      <c r="I11" s="7">
        <v>72</v>
      </c>
      <c r="J11" s="7">
        <v>12</v>
      </c>
      <c r="K11" s="7">
        <f>rounddown(H11/I11, 0)</f>
      </c>
      <c r="L11" s="7">
        <v>12</v>
      </c>
      <c r="M11" s="7">
        <v>47</v>
      </c>
      <c r="N11" s="30">
        <v>4.9</v>
      </c>
      <c r="O11" s="30">
        <v>3.2</v>
      </c>
      <c r="P11" s="30">
        <v>1.6</v>
      </c>
      <c r="Q11" s="30">
        <v>4.9</v>
      </c>
      <c r="R11" s="31">
        <v>0</v>
      </c>
      <c r="S11" s="7">
        <v>0</v>
      </c>
      <c r="T11" s="7">
        <v>0</v>
      </c>
    </row>
    <row x14ac:dyDescent="0.25" r="12" customHeight="1" ht="19.5">
      <c r="A12" s="6" t="s">
        <v>54</v>
      </c>
      <c r="B12" s="6" t="s">
        <v>55</v>
      </c>
      <c r="C12" s="26" t="s">
        <v>67</v>
      </c>
      <c r="D12" s="27" t="s">
        <v>68</v>
      </c>
      <c r="E12" s="28">
        <v>46056</v>
      </c>
      <c r="F12" s="6" t="s">
        <v>46</v>
      </c>
      <c r="G12" s="6" t="s">
        <v>58</v>
      </c>
      <c r="H12" s="29">
        <v>2149</v>
      </c>
      <c r="I12" s="7">
        <v>72</v>
      </c>
      <c r="J12" s="7">
        <v>12</v>
      </c>
      <c r="K12" s="7">
        <f>rounddown(H12/I12, 0)</f>
      </c>
      <c r="L12" s="7">
        <v>12</v>
      </c>
      <c r="M12" s="7">
        <v>47</v>
      </c>
      <c r="N12" s="30">
        <v>4.9</v>
      </c>
      <c r="O12" s="30">
        <v>3.2</v>
      </c>
      <c r="P12" s="30">
        <v>1.6</v>
      </c>
      <c r="Q12" s="30">
        <v>4.9</v>
      </c>
      <c r="R12" s="31">
        <v>0</v>
      </c>
      <c r="S12" s="7">
        <v>0</v>
      </c>
      <c r="T12" s="7">
        <v>1</v>
      </c>
    </row>
    <row x14ac:dyDescent="0.25" r="13" customHeight="1" ht="19.5">
      <c r="A13" s="6" t="s">
        <v>54</v>
      </c>
      <c r="B13" s="6" t="s">
        <v>55</v>
      </c>
      <c r="C13" s="26" t="s">
        <v>69</v>
      </c>
      <c r="D13" s="27" t="s">
        <v>68</v>
      </c>
      <c r="E13" s="28">
        <v>46301</v>
      </c>
      <c r="F13" s="6" t="s">
        <v>46</v>
      </c>
      <c r="G13" s="6" t="s">
        <v>58</v>
      </c>
      <c r="H13" s="29">
        <v>155</v>
      </c>
      <c r="I13" s="7">
        <v>72</v>
      </c>
      <c r="J13" s="7">
        <v>12</v>
      </c>
      <c r="K13" s="7">
        <f>rounddown(H13/I13, 0)</f>
      </c>
      <c r="L13" s="7">
        <v>12</v>
      </c>
      <c r="M13" s="7">
        <v>47</v>
      </c>
      <c r="N13" s="30">
        <v>4.9</v>
      </c>
      <c r="O13" s="30">
        <v>3.2</v>
      </c>
      <c r="P13" s="30">
        <v>1.6</v>
      </c>
      <c r="Q13" s="30">
        <v>4.9</v>
      </c>
      <c r="R13" s="31">
        <v>0</v>
      </c>
      <c r="S13" s="7">
        <v>0</v>
      </c>
      <c r="T13" s="7">
        <v>1</v>
      </c>
    </row>
    <row x14ac:dyDescent="0.25" r="14" customHeight="1" ht="19.5">
      <c r="A14" s="6" t="s">
        <v>54</v>
      </c>
      <c r="B14" s="6" t="s">
        <v>55</v>
      </c>
      <c r="C14" s="26" t="s">
        <v>70</v>
      </c>
      <c r="D14" s="27" t="s">
        <v>71</v>
      </c>
      <c r="E14" s="28">
        <v>46057</v>
      </c>
      <c r="F14" s="6" t="s">
        <v>46</v>
      </c>
      <c r="G14" s="6" t="s">
        <v>58</v>
      </c>
      <c r="H14" s="29">
        <v>1152</v>
      </c>
      <c r="I14" s="7">
        <v>72</v>
      </c>
      <c r="J14" s="7">
        <v>12</v>
      </c>
      <c r="K14" s="7">
        <f>rounddown(H14/I14, 0)</f>
      </c>
      <c r="L14" s="7">
        <v>12</v>
      </c>
      <c r="M14" s="7">
        <v>47</v>
      </c>
      <c r="N14" s="30">
        <v>4.9</v>
      </c>
      <c r="O14" s="30">
        <v>3.2</v>
      </c>
      <c r="P14" s="30">
        <v>1.6</v>
      </c>
      <c r="Q14" s="30">
        <v>4.9</v>
      </c>
      <c r="R14" s="31">
        <v>0</v>
      </c>
      <c r="S14" s="7">
        <v>0</v>
      </c>
      <c r="T14" s="7">
        <v>1</v>
      </c>
    </row>
    <row x14ac:dyDescent="0.25" r="15" customHeight="1" ht="19.5">
      <c r="A15" s="6" t="s">
        <v>54</v>
      </c>
      <c r="B15" s="6" t="s">
        <v>55</v>
      </c>
      <c r="C15" s="26" t="s">
        <v>72</v>
      </c>
      <c r="D15" s="27" t="s">
        <v>71</v>
      </c>
      <c r="E15" s="28">
        <v>46057</v>
      </c>
      <c r="F15" s="6" t="s">
        <v>46</v>
      </c>
      <c r="G15" s="6" t="s">
        <v>58</v>
      </c>
      <c r="H15" s="29">
        <v>576</v>
      </c>
      <c r="I15" s="7">
        <v>72</v>
      </c>
      <c r="J15" s="7">
        <v>12</v>
      </c>
      <c r="K15" s="7">
        <f>rounddown(H15/I15, 0)</f>
      </c>
      <c r="L15" s="7">
        <v>12</v>
      </c>
      <c r="M15" s="7">
        <v>47</v>
      </c>
      <c r="N15" s="30">
        <v>4.9</v>
      </c>
      <c r="O15" s="30">
        <v>3.2</v>
      </c>
      <c r="P15" s="30">
        <v>1.6</v>
      </c>
      <c r="Q15" s="30">
        <v>4.9</v>
      </c>
      <c r="R15" s="31">
        <v>0</v>
      </c>
      <c r="S15" s="7">
        <v>0</v>
      </c>
      <c r="T15" s="7">
        <v>0</v>
      </c>
    </row>
    <row x14ac:dyDescent="0.25" r="16" customHeight="1" ht="19.5">
      <c r="A16" s="6" t="s">
        <v>73</v>
      </c>
      <c r="B16" s="6" t="s">
        <v>74</v>
      </c>
      <c r="C16" s="26" t="s">
        <v>75</v>
      </c>
      <c r="D16" s="27" t="s">
        <v>76</v>
      </c>
      <c r="E16" s="28">
        <v>46843</v>
      </c>
      <c r="F16" s="6" t="s">
        <v>46</v>
      </c>
      <c r="G16" s="6" t="s">
        <v>58</v>
      </c>
      <c r="H16" s="29">
        <v>1872</v>
      </c>
      <c r="I16" s="7">
        <v>72</v>
      </c>
      <c r="J16" s="7">
        <v>12</v>
      </c>
      <c r="K16" s="7">
        <f>rounddown(H16/I16, 0)</f>
      </c>
      <c r="L16" s="30">
        <v>9.6</v>
      </c>
      <c r="M16" s="7">
        <v>126</v>
      </c>
      <c r="N16" s="30">
        <v>15.7</v>
      </c>
      <c r="O16" s="30">
        <v>7.2</v>
      </c>
      <c r="P16" s="32">
        <v>2.2</v>
      </c>
      <c r="Q16" s="7">
        <v>0</v>
      </c>
      <c r="R16" s="31">
        <v>0</v>
      </c>
      <c r="S16" s="7">
        <v>0</v>
      </c>
      <c r="T16" s="7">
        <v>0</v>
      </c>
    </row>
    <row x14ac:dyDescent="0.25" r="17" customHeight="1" ht="19.5">
      <c r="A17" s="6" t="s">
        <v>73</v>
      </c>
      <c r="B17" s="6" t="s">
        <v>74</v>
      </c>
      <c r="C17" s="26" t="s">
        <v>77</v>
      </c>
      <c r="D17" s="27" t="s">
        <v>78</v>
      </c>
      <c r="E17" s="28">
        <v>46843</v>
      </c>
      <c r="F17" s="6" t="s">
        <v>46</v>
      </c>
      <c r="G17" s="6" t="s">
        <v>58</v>
      </c>
      <c r="H17" s="29">
        <v>1224</v>
      </c>
      <c r="I17" s="7">
        <v>72</v>
      </c>
      <c r="J17" s="7">
        <v>12</v>
      </c>
      <c r="K17" s="7">
        <f>rounddown(H17/I17, 0)</f>
      </c>
      <c r="L17" s="30">
        <v>9.6</v>
      </c>
      <c r="M17" s="7">
        <v>126</v>
      </c>
      <c r="N17" s="30">
        <v>15.7</v>
      </c>
      <c r="O17" s="30">
        <v>7.2</v>
      </c>
      <c r="P17" s="30">
        <v>2.2</v>
      </c>
      <c r="Q17" s="7">
        <v>0</v>
      </c>
      <c r="R17" s="31">
        <v>0</v>
      </c>
      <c r="S17" s="7">
        <v>0</v>
      </c>
      <c r="T17" s="7">
        <v>0</v>
      </c>
    </row>
    <row x14ac:dyDescent="0.25" r="18" customHeight="1" ht="19.5">
      <c r="A18" s="6" t="s">
        <v>73</v>
      </c>
      <c r="B18" s="6" t="s">
        <v>74</v>
      </c>
      <c r="C18" s="26" t="s">
        <v>79</v>
      </c>
      <c r="D18" s="27" t="s">
        <v>80</v>
      </c>
      <c r="E18" s="28">
        <v>46843</v>
      </c>
      <c r="F18" s="6" t="s">
        <v>46</v>
      </c>
      <c r="G18" s="6" t="s">
        <v>58</v>
      </c>
      <c r="H18" s="29">
        <v>2376</v>
      </c>
      <c r="I18" s="7">
        <v>72</v>
      </c>
      <c r="J18" s="7">
        <v>12</v>
      </c>
      <c r="K18" s="7">
        <f>rounddown(H18/I18, 0)</f>
      </c>
      <c r="L18" s="30">
        <v>9.6</v>
      </c>
      <c r="M18" s="7">
        <v>126</v>
      </c>
      <c r="N18" s="30">
        <v>15.7</v>
      </c>
      <c r="O18" s="30">
        <v>7.2</v>
      </c>
      <c r="P18" s="30">
        <v>2.2</v>
      </c>
      <c r="Q18" s="7">
        <v>0</v>
      </c>
      <c r="R18" s="31">
        <v>0</v>
      </c>
      <c r="S18" s="7">
        <v>0</v>
      </c>
      <c r="T18" s="7">
        <v>0</v>
      </c>
    </row>
    <row x14ac:dyDescent="0.25" r="19" customHeight="1" ht="19.5">
      <c r="A19" s="6" t="s">
        <v>73</v>
      </c>
      <c r="B19" s="6" t="s">
        <v>74</v>
      </c>
      <c r="C19" s="26" t="s">
        <v>81</v>
      </c>
      <c r="D19" s="27" t="s">
        <v>82</v>
      </c>
      <c r="E19" s="28">
        <v>46843</v>
      </c>
      <c r="F19" s="6" t="s">
        <v>46</v>
      </c>
      <c r="G19" s="6" t="s">
        <v>58</v>
      </c>
      <c r="H19" s="29">
        <v>2304</v>
      </c>
      <c r="I19" s="7">
        <v>72</v>
      </c>
      <c r="J19" s="7">
        <v>12</v>
      </c>
      <c r="K19" s="7">
        <f>rounddown(H19/I19, 0)</f>
      </c>
      <c r="L19" s="30">
        <v>9.6</v>
      </c>
      <c r="M19" s="7">
        <v>126</v>
      </c>
      <c r="N19" s="30">
        <v>15.7</v>
      </c>
      <c r="O19" s="30">
        <v>7.2</v>
      </c>
      <c r="P19" s="30">
        <v>2.2</v>
      </c>
      <c r="Q19" s="7">
        <v>0</v>
      </c>
      <c r="R19" s="31">
        <v>0</v>
      </c>
      <c r="S19" s="7">
        <v>0</v>
      </c>
      <c r="T19" s="7">
        <v>1</v>
      </c>
    </row>
    <row x14ac:dyDescent="0.25" r="20" customHeight="1" ht="19.5">
      <c r="A20" s="6" t="s">
        <v>83</v>
      </c>
      <c r="B20" s="6" t="s">
        <v>84</v>
      </c>
      <c r="C20" s="26" t="s">
        <v>85</v>
      </c>
      <c r="D20" s="27" t="s">
        <v>86</v>
      </c>
      <c r="E20" s="28">
        <v>46752</v>
      </c>
      <c r="F20" s="6" t="s">
        <v>46</v>
      </c>
      <c r="G20" s="6" t="s">
        <v>47</v>
      </c>
      <c r="H20" s="29">
        <v>2574</v>
      </c>
      <c r="I20" s="7">
        <v>78</v>
      </c>
      <c r="J20" s="7">
        <v>6</v>
      </c>
      <c r="K20" s="7">
        <f>rounddown(H20/I20, 0)</f>
      </c>
      <c r="L20" s="30">
        <v>9.6</v>
      </c>
      <c r="M20" s="7">
        <v>24</v>
      </c>
      <c r="N20" s="30">
        <v>3.9</v>
      </c>
      <c r="O20" s="30">
        <v>1.1</v>
      </c>
      <c r="P20" s="30">
        <v>0.1</v>
      </c>
      <c r="Q20" s="30">
        <v>3.9</v>
      </c>
      <c r="R20" s="31">
        <v>0</v>
      </c>
      <c r="S20" s="7">
        <v>0</v>
      </c>
      <c r="T20" s="7">
        <v>0</v>
      </c>
    </row>
    <row x14ac:dyDescent="0.25" r="21" customHeight="1" ht="19.5">
      <c r="A21" s="6" t="s">
        <v>83</v>
      </c>
      <c r="B21" s="6" t="s">
        <v>84</v>
      </c>
      <c r="C21" s="26" t="s">
        <v>87</v>
      </c>
      <c r="D21" s="27" t="s">
        <v>88</v>
      </c>
      <c r="E21" s="28">
        <v>46752</v>
      </c>
      <c r="F21" s="6" t="s">
        <v>46</v>
      </c>
      <c r="G21" s="6" t="s">
        <v>47</v>
      </c>
      <c r="H21" s="29">
        <v>2574</v>
      </c>
      <c r="I21" s="7">
        <v>78</v>
      </c>
      <c r="J21" s="7">
        <v>6</v>
      </c>
      <c r="K21" s="7">
        <f>rounddown(H21/I21, 0)</f>
      </c>
      <c r="L21" s="30">
        <v>9.6</v>
      </c>
      <c r="M21" s="7">
        <v>24</v>
      </c>
      <c r="N21" s="30">
        <v>3.9</v>
      </c>
      <c r="O21" s="30">
        <v>1.1</v>
      </c>
      <c r="P21" s="30">
        <v>0.1</v>
      </c>
      <c r="Q21" s="30">
        <v>3.9</v>
      </c>
      <c r="R21" s="31">
        <v>0</v>
      </c>
      <c r="S21" s="7">
        <v>0</v>
      </c>
      <c r="T21" s="7">
        <v>0</v>
      </c>
    </row>
    <row x14ac:dyDescent="0.25" r="22" customHeight="1" ht="19.5">
      <c r="A22" s="6" t="s">
        <v>89</v>
      </c>
      <c r="B22" s="6" t="s">
        <v>90</v>
      </c>
      <c r="C22" s="26" t="s">
        <v>91</v>
      </c>
      <c r="D22" s="27" t="s">
        <v>92</v>
      </c>
      <c r="E22" s="28">
        <v>46546</v>
      </c>
      <c r="F22" s="6" t="s">
        <v>46</v>
      </c>
      <c r="G22" s="6" t="s">
        <v>47</v>
      </c>
      <c r="H22" s="29">
        <v>672</v>
      </c>
      <c r="I22" s="7">
        <v>84</v>
      </c>
      <c r="J22" s="7">
        <v>12</v>
      </c>
      <c r="K22" s="7">
        <f>rounddown(H22/I22, 0)</f>
      </c>
      <c r="L22" s="7">
        <v>10</v>
      </c>
      <c r="M22" s="7">
        <v>354</v>
      </c>
      <c r="N22" s="30">
        <v>80.4</v>
      </c>
      <c r="O22" s="30">
        <v>6.7</v>
      </c>
      <c r="P22" s="30">
        <v>0.4</v>
      </c>
      <c r="Q22" s="30">
        <v>0.1</v>
      </c>
      <c r="R22" s="31">
        <v>0</v>
      </c>
      <c r="S22" s="7">
        <v>0</v>
      </c>
      <c r="T22" s="7">
        <v>1</v>
      </c>
    </row>
    <row x14ac:dyDescent="0.25" r="23" customHeight="1" ht="19.5">
      <c r="A23" s="6" t="s">
        <v>89</v>
      </c>
      <c r="B23" s="6" t="s">
        <v>90</v>
      </c>
      <c r="C23" s="26" t="s">
        <v>93</v>
      </c>
      <c r="D23" s="27" t="s">
        <v>92</v>
      </c>
      <c r="E23" s="28">
        <v>46546</v>
      </c>
      <c r="F23" s="6" t="s">
        <v>46</v>
      </c>
      <c r="G23" s="6" t="s">
        <v>47</v>
      </c>
      <c r="H23" s="29">
        <v>1092</v>
      </c>
      <c r="I23" s="7">
        <v>84</v>
      </c>
      <c r="J23" s="7">
        <v>12</v>
      </c>
      <c r="K23" s="7">
        <f>rounddown(H23/I23, 0)</f>
      </c>
      <c r="L23" s="7">
        <v>10</v>
      </c>
      <c r="M23" s="7">
        <v>354</v>
      </c>
      <c r="N23" s="30">
        <v>80.4</v>
      </c>
      <c r="O23" s="30">
        <v>6.7</v>
      </c>
      <c r="P23" s="30">
        <v>0.4</v>
      </c>
      <c r="Q23" s="30">
        <v>0.1</v>
      </c>
      <c r="R23" s="31">
        <v>0</v>
      </c>
      <c r="S23" s="7">
        <v>0</v>
      </c>
      <c r="T23" s="7">
        <v>0</v>
      </c>
    </row>
    <row x14ac:dyDescent="0.25" r="24" customHeight="1" ht="19.5">
      <c r="A24" s="6" t="s">
        <v>89</v>
      </c>
      <c r="B24" s="6" t="s">
        <v>90</v>
      </c>
      <c r="C24" s="26" t="s">
        <v>94</v>
      </c>
      <c r="D24" s="27" t="s">
        <v>92</v>
      </c>
      <c r="E24" s="28">
        <v>46546</v>
      </c>
      <c r="F24" s="6" t="s">
        <v>46</v>
      </c>
      <c r="G24" s="6" t="s">
        <v>47</v>
      </c>
      <c r="H24" s="29">
        <v>756</v>
      </c>
      <c r="I24" s="7">
        <v>84</v>
      </c>
      <c r="J24" s="7">
        <v>12</v>
      </c>
      <c r="K24" s="7">
        <f>rounddown(H24/I24, 0)</f>
      </c>
      <c r="L24" s="7">
        <v>10</v>
      </c>
      <c r="M24" s="7">
        <v>354</v>
      </c>
      <c r="N24" s="30">
        <v>80.4</v>
      </c>
      <c r="O24" s="30">
        <v>6.7</v>
      </c>
      <c r="P24" s="30">
        <v>0.4</v>
      </c>
      <c r="Q24" s="30">
        <v>0.1</v>
      </c>
      <c r="R24" s="31">
        <v>0</v>
      </c>
      <c r="S24" s="7">
        <v>0</v>
      </c>
      <c r="T24" s="7">
        <v>0</v>
      </c>
    </row>
    <row x14ac:dyDescent="0.25" r="25" customHeight="1" ht="19.5">
      <c r="A25" s="6" t="s">
        <v>89</v>
      </c>
      <c r="B25" s="6" t="s">
        <v>90</v>
      </c>
      <c r="C25" s="26" t="s">
        <v>95</v>
      </c>
      <c r="D25" s="27" t="s">
        <v>63</v>
      </c>
      <c r="E25" s="28">
        <v>46545</v>
      </c>
      <c r="F25" s="6" t="s">
        <v>46</v>
      </c>
      <c r="G25" s="6" t="s">
        <v>47</v>
      </c>
      <c r="H25" s="29">
        <v>168</v>
      </c>
      <c r="I25" s="7">
        <v>84</v>
      </c>
      <c r="J25" s="7">
        <v>12</v>
      </c>
      <c r="K25" s="7">
        <f>rounddown(H25/I25, 0)</f>
      </c>
      <c r="L25" s="7">
        <v>10</v>
      </c>
      <c r="M25" s="7">
        <v>354</v>
      </c>
      <c r="N25" s="30">
        <v>80.4</v>
      </c>
      <c r="O25" s="30">
        <v>6.7</v>
      </c>
      <c r="P25" s="30">
        <v>0.4</v>
      </c>
      <c r="Q25" s="30">
        <v>0.1</v>
      </c>
      <c r="R25" s="31">
        <v>0</v>
      </c>
      <c r="S25" s="7">
        <v>0</v>
      </c>
      <c r="T25" s="7">
        <v>1</v>
      </c>
    </row>
    <row x14ac:dyDescent="0.25" r="26" customHeight="1" ht="19.5">
      <c r="A26" s="6" t="s">
        <v>89</v>
      </c>
      <c r="B26" s="6" t="s">
        <v>90</v>
      </c>
      <c r="C26" s="26" t="s">
        <v>96</v>
      </c>
      <c r="D26" s="27" t="s">
        <v>63</v>
      </c>
      <c r="E26" s="28">
        <v>46547</v>
      </c>
      <c r="F26" s="6" t="s">
        <v>46</v>
      </c>
      <c r="G26" s="6" t="s">
        <v>47</v>
      </c>
      <c r="H26" s="29">
        <v>168</v>
      </c>
      <c r="I26" s="7">
        <v>84</v>
      </c>
      <c r="J26" s="7">
        <v>12</v>
      </c>
      <c r="K26" s="7">
        <f>rounddown(H26/I26, 0)</f>
      </c>
      <c r="L26" s="7">
        <v>10</v>
      </c>
      <c r="M26" s="7">
        <v>354</v>
      </c>
      <c r="N26" s="30">
        <v>80.4</v>
      </c>
      <c r="O26" s="30">
        <v>6.7</v>
      </c>
      <c r="P26" s="30">
        <v>0.4</v>
      </c>
      <c r="Q26" s="30">
        <v>0.1</v>
      </c>
      <c r="R26" s="31">
        <v>0</v>
      </c>
      <c r="S26" s="7">
        <v>0</v>
      </c>
      <c r="T26" s="7">
        <v>1</v>
      </c>
    </row>
    <row x14ac:dyDescent="0.25" r="27" customHeight="1" ht="19.5">
      <c r="A27" s="6" t="s">
        <v>89</v>
      </c>
      <c r="B27" s="6" t="s">
        <v>90</v>
      </c>
      <c r="C27" s="26" t="s">
        <v>97</v>
      </c>
      <c r="D27" s="27" t="s">
        <v>63</v>
      </c>
      <c r="E27" s="28">
        <v>46547</v>
      </c>
      <c r="F27" s="6" t="s">
        <v>46</v>
      </c>
      <c r="G27" s="6" t="s">
        <v>47</v>
      </c>
      <c r="H27" s="29">
        <v>1764</v>
      </c>
      <c r="I27" s="7">
        <v>84</v>
      </c>
      <c r="J27" s="7">
        <v>12</v>
      </c>
      <c r="K27" s="7">
        <f>rounddown(H27/I27, 0)</f>
      </c>
      <c r="L27" s="7">
        <v>10</v>
      </c>
      <c r="M27" s="7">
        <v>354</v>
      </c>
      <c r="N27" s="30">
        <v>80.4</v>
      </c>
      <c r="O27" s="30">
        <v>6.7</v>
      </c>
      <c r="P27" s="30">
        <v>0.4</v>
      </c>
      <c r="Q27" s="30">
        <v>0.1</v>
      </c>
      <c r="R27" s="31">
        <v>0</v>
      </c>
      <c r="S27" s="7">
        <v>0</v>
      </c>
      <c r="T27" s="7">
        <v>0</v>
      </c>
    </row>
    <row x14ac:dyDescent="0.25" r="28" customHeight="1" ht="19.5">
      <c r="A28" s="6" t="s">
        <v>89</v>
      </c>
      <c r="B28" s="6" t="s">
        <v>90</v>
      </c>
      <c r="C28" s="26" t="s">
        <v>98</v>
      </c>
      <c r="D28" s="27" t="s">
        <v>63</v>
      </c>
      <c r="E28" s="28">
        <v>46547</v>
      </c>
      <c r="F28" s="6" t="s">
        <v>46</v>
      </c>
      <c r="G28" s="6" t="s">
        <v>47</v>
      </c>
      <c r="H28" s="29">
        <v>588</v>
      </c>
      <c r="I28" s="7">
        <v>84</v>
      </c>
      <c r="J28" s="7">
        <v>12</v>
      </c>
      <c r="K28" s="7">
        <f>rounddown(H28/I28, 0)</f>
      </c>
      <c r="L28" s="7">
        <v>10</v>
      </c>
      <c r="M28" s="7">
        <v>354</v>
      </c>
      <c r="N28" s="30">
        <v>80.4</v>
      </c>
      <c r="O28" s="30">
        <v>6.7</v>
      </c>
      <c r="P28" s="30">
        <v>0.4</v>
      </c>
      <c r="Q28" s="30">
        <v>0.1</v>
      </c>
      <c r="R28" s="31">
        <v>0</v>
      </c>
      <c r="S28" s="7">
        <v>0</v>
      </c>
      <c r="T28" s="7">
        <v>0</v>
      </c>
    </row>
    <row x14ac:dyDescent="0.25" r="29" customHeight="1" ht="19.5">
      <c r="A29" s="6" t="s">
        <v>89</v>
      </c>
      <c r="B29" s="6" t="s">
        <v>90</v>
      </c>
      <c r="C29" s="26" t="s">
        <v>99</v>
      </c>
      <c r="D29" s="27" t="s">
        <v>100</v>
      </c>
      <c r="E29" s="28">
        <v>46539</v>
      </c>
      <c r="F29" s="6" t="s">
        <v>46</v>
      </c>
      <c r="G29" s="6" t="s">
        <v>47</v>
      </c>
      <c r="H29" s="29">
        <v>84</v>
      </c>
      <c r="I29" s="7">
        <v>84</v>
      </c>
      <c r="J29" s="7">
        <v>12</v>
      </c>
      <c r="K29" s="7">
        <f>rounddown(H29/I29, 0)</f>
      </c>
      <c r="L29" s="7">
        <v>10</v>
      </c>
      <c r="M29" s="7">
        <v>354</v>
      </c>
      <c r="N29" s="30">
        <v>80.4</v>
      </c>
      <c r="O29" s="30">
        <v>6.7</v>
      </c>
      <c r="P29" s="30">
        <v>0.4</v>
      </c>
      <c r="Q29" s="30">
        <v>0.1</v>
      </c>
      <c r="R29" s="31">
        <v>0</v>
      </c>
      <c r="S29" s="7">
        <v>0</v>
      </c>
      <c r="T29" s="7">
        <v>0</v>
      </c>
    </row>
    <row x14ac:dyDescent="0.25" r="30" customHeight="1" ht="19.5">
      <c r="A30" s="6" t="s">
        <v>89</v>
      </c>
      <c r="B30" s="6" t="s">
        <v>90</v>
      </c>
      <c r="C30" s="26" t="s">
        <v>101</v>
      </c>
      <c r="D30" s="27" t="s">
        <v>100</v>
      </c>
      <c r="E30" s="28">
        <v>46540</v>
      </c>
      <c r="F30" s="6" t="s">
        <v>46</v>
      </c>
      <c r="G30" s="6" t="s">
        <v>47</v>
      </c>
      <c r="H30" s="29">
        <v>336</v>
      </c>
      <c r="I30" s="7">
        <v>84</v>
      </c>
      <c r="J30" s="7">
        <v>12</v>
      </c>
      <c r="K30" s="7">
        <f>rounddown(H30/I30, 0)</f>
      </c>
      <c r="L30" s="7">
        <v>10</v>
      </c>
      <c r="M30" s="7">
        <v>354</v>
      </c>
      <c r="N30" s="30">
        <v>80.4</v>
      </c>
      <c r="O30" s="30">
        <v>6.7</v>
      </c>
      <c r="P30" s="30">
        <v>0.4</v>
      </c>
      <c r="Q30" s="30">
        <v>0.1</v>
      </c>
      <c r="R30" s="31">
        <v>0</v>
      </c>
      <c r="S30" s="7">
        <v>0</v>
      </c>
      <c r="T30" s="7">
        <v>0</v>
      </c>
    </row>
    <row x14ac:dyDescent="0.25" r="31" customHeight="1" ht="19.5">
      <c r="A31" s="6" t="s">
        <v>89</v>
      </c>
      <c r="B31" s="6" t="s">
        <v>90</v>
      </c>
      <c r="C31" s="26" t="s">
        <v>102</v>
      </c>
      <c r="D31" s="27" t="s">
        <v>100</v>
      </c>
      <c r="E31" s="28">
        <v>46540</v>
      </c>
      <c r="F31" s="6" t="s">
        <v>46</v>
      </c>
      <c r="G31" s="6" t="s">
        <v>47</v>
      </c>
      <c r="H31" s="29">
        <v>1344</v>
      </c>
      <c r="I31" s="7">
        <v>84</v>
      </c>
      <c r="J31" s="7">
        <v>12</v>
      </c>
      <c r="K31" s="7">
        <f>rounddown(H31/I31, 0)</f>
      </c>
      <c r="L31" s="7">
        <v>10</v>
      </c>
      <c r="M31" s="7">
        <v>354</v>
      </c>
      <c r="N31" s="30">
        <v>80.4</v>
      </c>
      <c r="O31" s="30">
        <v>6.7</v>
      </c>
      <c r="P31" s="30">
        <v>0.4</v>
      </c>
      <c r="Q31" s="30">
        <v>0.1</v>
      </c>
      <c r="R31" s="31">
        <v>0</v>
      </c>
      <c r="S31" s="7">
        <v>0</v>
      </c>
      <c r="T31" s="7">
        <v>0</v>
      </c>
    </row>
    <row x14ac:dyDescent="0.25" r="32" customHeight="1" ht="19.5">
      <c r="A32" s="6" t="s">
        <v>89</v>
      </c>
      <c r="B32" s="6" t="s">
        <v>90</v>
      </c>
      <c r="C32" s="26" t="s">
        <v>103</v>
      </c>
      <c r="D32" s="27" t="s">
        <v>100</v>
      </c>
      <c r="E32" s="28">
        <v>46541</v>
      </c>
      <c r="F32" s="6" t="s">
        <v>46</v>
      </c>
      <c r="G32" s="6" t="s">
        <v>47</v>
      </c>
      <c r="H32" s="29">
        <v>756</v>
      </c>
      <c r="I32" s="7">
        <v>84</v>
      </c>
      <c r="J32" s="7">
        <v>12</v>
      </c>
      <c r="K32" s="7">
        <f>rounddown(H32/I32, 0)</f>
      </c>
      <c r="L32" s="7">
        <v>10</v>
      </c>
      <c r="M32" s="7">
        <v>354</v>
      </c>
      <c r="N32" s="30">
        <v>80.4</v>
      </c>
      <c r="O32" s="30">
        <v>6.7</v>
      </c>
      <c r="P32" s="30">
        <v>0.4</v>
      </c>
      <c r="Q32" s="30">
        <v>0.1</v>
      </c>
      <c r="R32" s="31">
        <v>0</v>
      </c>
      <c r="S32" s="7">
        <v>0</v>
      </c>
      <c r="T32" s="7">
        <v>0</v>
      </c>
    </row>
    <row x14ac:dyDescent="0.25" r="33" customHeight="1" ht="19.5">
      <c r="A33" s="6" t="s">
        <v>89</v>
      </c>
      <c r="B33" s="6" t="s">
        <v>90</v>
      </c>
      <c r="C33" s="26" t="s">
        <v>104</v>
      </c>
      <c r="D33" s="27" t="s">
        <v>100</v>
      </c>
      <c r="E33" s="28">
        <v>46546</v>
      </c>
      <c r="F33" s="6" t="s">
        <v>46</v>
      </c>
      <c r="G33" s="6" t="s">
        <v>47</v>
      </c>
      <c r="H33" s="29">
        <v>1008</v>
      </c>
      <c r="I33" s="7">
        <v>84</v>
      </c>
      <c r="J33" s="7">
        <v>12</v>
      </c>
      <c r="K33" s="7">
        <f>rounddown(H33/I33, 0)</f>
      </c>
      <c r="L33" s="7">
        <v>10</v>
      </c>
      <c r="M33" s="7">
        <v>354</v>
      </c>
      <c r="N33" s="30">
        <v>80.4</v>
      </c>
      <c r="O33" s="30">
        <v>6.7</v>
      </c>
      <c r="P33" s="30">
        <v>0.4</v>
      </c>
      <c r="Q33" s="30">
        <v>0.1</v>
      </c>
      <c r="R33" s="31">
        <v>0</v>
      </c>
      <c r="S33" s="7">
        <v>0</v>
      </c>
      <c r="T33" s="7">
        <v>0</v>
      </c>
    </row>
    <row x14ac:dyDescent="0.25" r="34" customHeight="1" ht="18.75">
      <c r="A34" s="6" t="s">
        <v>89</v>
      </c>
      <c r="B34" s="6" t="s">
        <v>90</v>
      </c>
      <c r="C34" s="26" t="s">
        <v>105</v>
      </c>
      <c r="D34" s="27" t="s">
        <v>100</v>
      </c>
      <c r="E34" s="28">
        <v>46546</v>
      </c>
      <c r="F34" s="6" t="s">
        <v>46</v>
      </c>
      <c r="G34" s="6" t="s">
        <v>47</v>
      </c>
      <c r="H34" s="29">
        <v>1176</v>
      </c>
      <c r="I34" s="7">
        <v>84</v>
      </c>
      <c r="J34" s="7">
        <v>12</v>
      </c>
      <c r="K34" s="7">
        <f>rounddown(H34/I34, 0)</f>
      </c>
      <c r="L34" s="7">
        <v>10</v>
      </c>
      <c r="M34" s="7">
        <v>354</v>
      </c>
      <c r="N34" s="30">
        <v>80.4</v>
      </c>
      <c r="O34" s="30">
        <v>6.7</v>
      </c>
      <c r="P34" s="30">
        <v>0.4</v>
      </c>
      <c r="Q34" s="30">
        <v>0.1</v>
      </c>
      <c r="R34" s="31">
        <v>0</v>
      </c>
      <c r="S34" s="7">
        <v>0</v>
      </c>
      <c r="T34" s="7">
        <v>0</v>
      </c>
    </row>
    <row x14ac:dyDescent="0.25" r="35" customHeight="1" ht="18.75">
      <c r="A35" s="6" t="s">
        <v>89</v>
      </c>
      <c r="B35" s="6" t="s">
        <v>90</v>
      </c>
      <c r="C35" s="26" t="s">
        <v>106</v>
      </c>
      <c r="D35" s="27" t="s">
        <v>100</v>
      </c>
      <c r="E35" s="28">
        <v>46546</v>
      </c>
      <c r="F35" s="6" t="s">
        <v>46</v>
      </c>
      <c r="G35" s="6" t="s">
        <v>47</v>
      </c>
      <c r="H35" s="29">
        <v>336</v>
      </c>
      <c r="I35" s="7">
        <v>84</v>
      </c>
      <c r="J35" s="7">
        <v>12</v>
      </c>
      <c r="K35" s="7">
        <f>rounddown(H35/I35, 0)</f>
      </c>
      <c r="L35" s="7">
        <v>10</v>
      </c>
      <c r="M35" s="7">
        <v>354</v>
      </c>
      <c r="N35" s="30">
        <v>80.4</v>
      </c>
      <c r="O35" s="30">
        <v>6.7</v>
      </c>
      <c r="P35" s="30">
        <v>0.4</v>
      </c>
      <c r="Q35" s="30">
        <v>0.1</v>
      </c>
      <c r="R35" s="31">
        <v>0</v>
      </c>
      <c r="S35" s="7">
        <v>0</v>
      </c>
      <c r="T35" s="7">
        <v>0</v>
      </c>
    </row>
    <row x14ac:dyDescent="0.25" r="36" customHeight="1" ht="18.75">
      <c r="A36" s="6" t="s">
        <v>89</v>
      </c>
      <c r="B36" s="6" t="s">
        <v>90</v>
      </c>
      <c r="C36" s="26" t="s">
        <v>107</v>
      </c>
      <c r="D36" s="27" t="s">
        <v>108</v>
      </c>
      <c r="E36" s="28">
        <v>46539</v>
      </c>
      <c r="F36" s="6" t="s">
        <v>46</v>
      </c>
      <c r="G36" s="6" t="s">
        <v>47</v>
      </c>
      <c r="H36" s="29">
        <v>672</v>
      </c>
      <c r="I36" s="7">
        <v>84</v>
      </c>
      <c r="J36" s="7">
        <v>12</v>
      </c>
      <c r="K36" s="7">
        <f>rounddown(H36/I36, 0)</f>
      </c>
      <c r="L36" s="7">
        <v>10</v>
      </c>
      <c r="M36" s="7">
        <v>354</v>
      </c>
      <c r="N36" s="30">
        <v>80.4</v>
      </c>
      <c r="O36" s="30">
        <v>6.7</v>
      </c>
      <c r="P36" s="30">
        <v>0.4</v>
      </c>
      <c r="Q36" s="30">
        <v>0.1</v>
      </c>
      <c r="R36" s="31">
        <v>0</v>
      </c>
      <c r="S36" s="7">
        <v>0</v>
      </c>
      <c r="T36" s="7">
        <v>0</v>
      </c>
    </row>
    <row x14ac:dyDescent="0.25" r="37" customHeight="1" ht="18.75">
      <c r="A37" s="6" t="s">
        <v>89</v>
      </c>
      <c r="B37" s="6" t="s">
        <v>90</v>
      </c>
      <c r="C37" s="26" t="s">
        <v>109</v>
      </c>
      <c r="D37" s="27" t="s">
        <v>108</v>
      </c>
      <c r="E37" s="28">
        <v>46539</v>
      </c>
      <c r="F37" s="27" t="s">
        <v>46</v>
      </c>
      <c r="G37" s="6" t="s">
        <v>47</v>
      </c>
      <c r="H37" s="7">
        <v>7</v>
      </c>
      <c r="I37" s="7">
        <v>84</v>
      </c>
      <c r="J37" s="7">
        <v>12</v>
      </c>
      <c r="K37" s="7">
        <f>rounddown(H37/I37, 0)</f>
      </c>
      <c r="L37" s="7">
        <v>10</v>
      </c>
      <c r="M37" s="7">
        <v>354</v>
      </c>
      <c r="N37" s="30">
        <v>80.4</v>
      </c>
      <c r="O37" s="30">
        <v>6.7</v>
      </c>
      <c r="P37" s="30">
        <v>0.4</v>
      </c>
      <c r="Q37" s="30">
        <v>0.1</v>
      </c>
      <c r="R37" s="31">
        <v>0</v>
      </c>
      <c r="S37" s="7">
        <v>0</v>
      </c>
      <c r="T37" s="7">
        <v>0</v>
      </c>
    </row>
    <row x14ac:dyDescent="0.25" r="38" customHeight="1" ht="18.75">
      <c r="A38" s="6" t="s">
        <v>89</v>
      </c>
      <c r="B38" s="6" t="s">
        <v>90</v>
      </c>
      <c r="C38" s="26" t="s">
        <v>110</v>
      </c>
      <c r="D38" s="27" t="s">
        <v>108</v>
      </c>
      <c r="E38" s="28">
        <v>46539</v>
      </c>
      <c r="F38" s="6" t="s">
        <v>46</v>
      </c>
      <c r="G38" s="6" t="s">
        <v>47</v>
      </c>
      <c r="H38" s="29">
        <v>1764</v>
      </c>
      <c r="I38" s="7">
        <v>84</v>
      </c>
      <c r="J38" s="7">
        <v>12</v>
      </c>
      <c r="K38" s="7">
        <f>rounddown(H38/I38, 0)</f>
      </c>
      <c r="L38" s="7">
        <v>10</v>
      </c>
      <c r="M38" s="7">
        <v>354</v>
      </c>
      <c r="N38" s="30">
        <v>80.4</v>
      </c>
      <c r="O38" s="30">
        <v>6.7</v>
      </c>
      <c r="P38" s="30">
        <v>0.4</v>
      </c>
      <c r="Q38" s="30">
        <v>0.1</v>
      </c>
      <c r="R38" s="31">
        <v>0</v>
      </c>
      <c r="S38" s="7">
        <v>0</v>
      </c>
      <c r="T38" s="7">
        <v>0</v>
      </c>
    </row>
    <row x14ac:dyDescent="0.25" r="39" customHeight="1" ht="18.75">
      <c r="A39" s="6" t="s">
        <v>89</v>
      </c>
      <c r="B39" s="6" t="s">
        <v>90</v>
      </c>
      <c r="C39" s="26" t="s">
        <v>111</v>
      </c>
      <c r="D39" s="27" t="s">
        <v>108</v>
      </c>
      <c r="E39" s="28">
        <v>46548</v>
      </c>
      <c r="F39" s="6" t="s">
        <v>46</v>
      </c>
      <c r="G39" s="6" t="s">
        <v>47</v>
      </c>
      <c r="H39" s="29">
        <v>48</v>
      </c>
      <c r="I39" s="7">
        <v>84</v>
      </c>
      <c r="J39" s="7">
        <v>12</v>
      </c>
      <c r="K39" s="7">
        <f>rounddown(H39/I39, 0)</f>
      </c>
      <c r="L39" s="7">
        <v>10</v>
      </c>
      <c r="M39" s="7">
        <v>354</v>
      </c>
      <c r="N39" s="30">
        <v>80.4</v>
      </c>
      <c r="O39" s="30">
        <v>6.7</v>
      </c>
      <c r="P39" s="30">
        <v>0.4</v>
      </c>
      <c r="Q39" s="30">
        <v>0.1</v>
      </c>
      <c r="R39" s="31">
        <v>0</v>
      </c>
      <c r="S39" s="7">
        <v>0</v>
      </c>
      <c r="T39" s="7">
        <v>0</v>
      </c>
    </row>
    <row x14ac:dyDescent="0.25" r="40" customHeight="1" ht="18.75">
      <c r="A40" s="6" t="s">
        <v>89</v>
      </c>
      <c r="B40" s="6" t="s">
        <v>90</v>
      </c>
      <c r="C40" s="26" t="s">
        <v>112</v>
      </c>
      <c r="D40" s="27" t="s">
        <v>108</v>
      </c>
      <c r="E40" s="28">
        <v>46571</v>
      </c>
      <c r="F40" s="6" t="s">
        <v>46</v>
      </c>
      <c r="G40" s="6" t="s">
        <v>47</v>
      </c>
      <c r="H40" s="29">
        <v>29</v>
      </c>
      <c r="I40" s="7">
        <v>84</v>
      </c>
      <c r="J40" s="7">
        <v>12</v>
      </c>
      <c r="K40" s="7">
        <f>rounddown(H40/I40, 0)</f>
      </c>
      <c r="L40" s="7">
        <v>10</v>
      </c>
      <c r="M40" s="7">
        <v>354</v>
      </c>
      <c r="N40" s="30">
        <v>80.4</v>
      </c>
      <c r="O40" s="30">
        <v>6.7</v>
      </c>
      <c r="P40" s="30">
        <v>0.4</v>
      </c>
      <c r="Q40" s="30">
        <v>0.1</v>
      </c>
      <c r="R40" s="31">
        <v>0</v>
      </c>
      <c r="S40" s="7">
        <v>0</v>
      </c>
      <c r="T40" s="7">
        <v>0</v>
      </c>
    </row>
    <row x14ac:dyDescent="0.25" r="41" customHeight="1" ht="18.75">
      <c r="A41" s="6" t="s">
        <v>89</v>
      </c>
      <c r="B41" s="6" t="s">
        <v>90</v>
      </c>
      <c r="C41" s="26" t="s">
        <v>113</v>
      </c>
      <c r="D41" s="27" t="s">
        <v>45</v>
      </c>
      <c r="E41" s="28">
        <v>46572</v>
      </c>
      <c r="F41" s="6" t="s">
        <v>46</v>
      </c>
      <c r="G41" s="6" t="s">
        <v>47</v>
      </c>
      <c r="H41" s="29">
        <v>1596</v>
      </c>
      <c r="I41" s="7">
        <v>84</v>
      </c>
      <c r="J41" s="7">
        <v>12</v>
      </c>
      <c r="K41" s="7">
        <f>rounddown(H41/I41, 0)</f>
      </c>
      <c r="L41" s="7">
        <v>10</v>
      </c>
      <c r="M41" s="7">
        <v>354</v>
      </c>
      <c r="N41" s="30">
        <v>80.4</v>
      </c>
      <c r="O41" s="30">
        <v>6.7</v>
      </c>
      <c r="P41" s="30">
        <v>0.4</v>
      </c>
      <c r="Q41" s="30">
        <v>0.1</v>
      </c>
      <c r="R41" s="31">
        <v>0</v>
      </c>
      <c r="S41" s="7">
        <v>0</v>
      </c>
      <c r="T41" s="7">
        <v>0</v>
      </c>
    </row>
    <row x14ac:dyDescent="0.25" r="42" customHeight="1" ht="18.75">
      <c r="A42" s="6" t="s">
        <v>89</v>
      </c>
      <c r="B42" s="6" t="s">
        <v>90</v>
      </c>
      <c r="C42" s="26" t="s">
        <v>114</v>
      </c>
      <c r="D42" s="27" t="s">
        <v>45</v>
      </c>
      <c r="E42" s="28">
        <v>46573</v>
      </c>
      <c r="F42" s="6" t="s">
        <v>46</v>
      </c>
      <c r="G42" s="6" t="s">
        <v>47</v>
      </c>
      <c r="H42" s="29">
        <v>924</v>
      </c>
      <c r="I42" s="7">
        <v>84</v>
      </c>
      <c r="J42" s="7">
        <v>12</v>
      </c>
      <c r="K42" s="7">
        <f>rounddown(H42/I42, 0)</f>
      </c>
      <c r="L42" s="7">
        <v>10</v>
      </c>
      <c r="M42" s="7">
        <v>354</v>
      </c>
      <c r="N42" s="30">
        <v>80.4</v>
      </c>
      <c r="O42" s="30">
        <v>6.7</v>
      </c>
      <c r="P42" s="30">
        <v>0.4</v>
      </c>
      <c r="Q42" s="30">
        <v>0.1</v>
      </c>
      <c r="R42" s="31">
        <v>0</v>
      </c>
      <c r="S42" s="7">
        <v>0</v>
      </c>
      <c r="T42" s="7">
        <v>0</v>
      </c>
    </row>
    <row x14ac:dyDescent="0.25" r="43" customHeight="1" ht="18.75">
      <c r="A43" s="6" t="s">
        <v>115</v>
      </c>
      <c r="B43" s="6" t="s">
        <v>116</v>
      </c>
      <c r="C43" s="26" t="s">
        <v>117</v>
      </c>
      <c r="D43" s="27" t="s">
        <v>118</v>
      </c>
      <c r="E43" s="28">
        <v>46196</v>
      </c>
      <c r="F43" s="6" t="s">
        <v>46</v>
      </c>
      <c r="G43" s="6" t="s">
        <v>47</v>
      </c>
      <c r="H43" s="29">
        <v>240</v>
      </c>
      <c r="I43" s="7">
        <v>24</v>
      </c>
      <c r="J43" s="7">
        <v>4</v>
      </c>
      <c r="K43" s="7">
        <f>rounddown(H43/I43, 0)</f>
      </c>
      <c r="L43" s="30">
        <v>8.96</v>
      </c>
      <c r="M43" s="7">
        <v>401</v>
      </c>
      <c r="N43" s="7">
        <v>72</v>
      </c>
      <c r="O43" s="7">
        <v>11</v>
      </c>
      <c r="P43" s="30">
        <v>6.8</v>
      </c>
      <c r="Q43" s="7">
        <v>8</v>
      </c>
      <c r="R43" s="31">
        <v>0</v>
      </c>
      <c r="S43" s="7">
        <v>0</v>
      </c>
      <c r="T43" s="7">
        <v>0</v>
      </c>
    </row>
    <row x14ac:dyDescent="0.25" r="44" customHeight="1" ht="18.75">
      <c r="A44" s="6" t="s">
        <v>115</v>
      </c>
      <c r="B44" s="6" t="s">
        <v>116</v>
      </c>
      <c r="C44" s="26" t="s">
        <v>119</v>
      </c>
      <c r="D44" s="27" t="s">
        <v>82</v>
      </c>
      <c r="E44" s="28">
        <v>46197</v>
      </c>
      <c r="F44" s="6" t="s">
        <v>46</v>
      </c>
      <c r="G44" s="6" t="s">
        <v>47</v>
      </c>
      <c r="H44" s="29">
        <v>24</v>
      </c>
      <c r="I44" s="7">
        <v>24</v>
      </c>
      <c r="J44" s="7">
        <v>4</v>
      </c>
      <c r="K44" s="7">
        <f>rounddown(H44/I44, 0)</f>
      </c>
      <c r="L44" s="30">
        <v>8.96</v>
      </c>
      <c r="M44" s="7">
        <v>401</v>
      </c>
      <c r="N44" s="7">
        <v>72</v>
      </c>
      <c r="O44" s="7">
        <v>11</v>
      </c>
      <c r="P44" s="30">
        <v>6.8</v>
      </c>
      <c r="Q44" s="7">
        <v>8</v>
      </c>
      <c r="R44" s="31">
        <v>0</v>
      </c>
      <c r="S44" s="7">
        <v>0</v>
      </c>
      <c r="T44" s="7">
        <v>1</v>
      </c>
    </row>
    <row x14ac:dyDescent="0.25" r="45" customHeight="1" ht="18.75">
      <c r="A45" s="6" t="s">
        <v>115</v>
      </c>
      <c r="B45" s="6" t="s">
        <v>116</v>
      </c>
      <c r="C45" s="26" t="s">
        <v>120</v>
      </c>
      <c r="D45" s="27" t="s">
        <v>121</v>
      </c>
      <c r="E45" s="28">
        <v>46215</v>
      </c>
      <c r="F45" s="6" t="s">
        <v>46</v>
      </c>
      <c r="G45" s="6" t="s">
        <v>47</v>
      </c>
      <c r="H45" s="29">
        <v>384</v>
      </c>
      <c r="I45" s="7">
        <v>24</v>
      </c>
      <c r="J45" s="7">
        <v>4</v>
      </c>
      <c r="K45" s="7">
        <f>rounddown(H45/I45, 0)</f>
      </c>
      <c r="L45" s="30">
        <v>8.96</v>
      </c>
      <c r="M45" s="7">
        <v>401</v>
      </c>
      <c r="N45" s="7">
        <v>72</v>
      </c>
      <c r="O45" s="7">
        <v>11</v>
      </c>
      <c r="P45" s="30">
        <v>6.8</v>
      </c>
      <c r="Q45" s="7">
        <v>8</v>
      </c>
      <c r="R45" s="31">
        <v>0</v>
      </c>
      <c r="S45" s="7">
        <v>0</v>
      </c>
      <c r="T45" s="7">
        <v>0</v>
      </c>
    </row>
    <row x14ac:dyDescent="0.25" r="46" customHeight="1" ht="18.75">
      <c r="A46" s="6" t="s">
        <v>115</v>
      </c>
      <c r="B46" s="6" t="s">
        <v>116</v>
      </c>
      <c r="C46" s="26" t="s">
        <v>122</v>
      </c>
      <c r="D46" s="27" t="s">
        <v>123</v>
      </c>
      <c r="E46" s="28">
        <v>46224</v>
      </c>
      <c r="F46" s="6" t="s">
        <v>46</v>
      </c>
      <c r="G46" s="6" t="s">
        <v>47</v>
      </c>
      <c r="H46" s="29">
        <v>648</v>
      </c>
      <c r="I46" s="7">
        <v>24</v>
      </c>
      <c r="J46" s="7">
        <v>4</v>
      </c>
      <c r="K46" s="7">
        <f>rounddown(H46/I46, 0)</f>
      </c>
      <c r="L46" s="30">
        <v>8.96</v>
      </c>
      <c r="M46" s="7">
        <v>401</v>
      </c>
      <c r="N46" s="7">
        <v>72</v>
      </c>
      <c r="O46" s="7">
        <v>11</v>
      </c>
      <c r="P46" s="30">
        <v>6.8</v>
      </c>
      <c r="Q46" s="7">
        <v>8</v>
      </c>
      <c r="R46" s="31">
        <v>0</v>
      </c>
      <c r="S46" s="7">
        <v>0</v>
      </c>
      <c r="T46" s="7">
        <v>0</v>
      </c>
    </row>
    <row x14ac:dyDescent="0.25" r="47" customHeight="1" ht="18.75">
      <c r="A47" s="6" t="s">
        <v>115</v>
      </c>
      <c r="B47" s="6" t="s">
        <v>116</v>
      </c>
      <c r="C47" s="26" t="s">
        <v>124</v>
      </c>
      <c r="D47" s="27" t="s">
        <v>125</v>
      </c>
      <c r="E47" s="28">
        <v>46215</v>
      </c>
      <c r="F47" s="6" t="s">
        <v>46</v>
      </c>
      <c r="G47" s="6" t="s">
        <v>47</v>
      </c>
      <c r="H47" s="29">
        <v>24</v>
      </c>
      <c r="I47" s="7">
        <v>24</v>
      </c>
      <c r="J47" s="7">
        <v>4</v>
      </c>
      <c r="K47" s="7">
        <f>rounddown(H47/I47, 0)</f>
      </c>
      <c r="L47" s="30">
        <v>8.96</v>
      </c>
      <c r="M47" s="7">
        <v>401</v>
      </c>
      <c r="N47" s="7">
        <v>72</v>
      </c>
      <c r="O47" s="7">
        <v>11</v>
      </c>
      <c r="P47" s="30">
        <v>6.8</v>
      </c>
      <c r="Q47" s="7">
        <v>8</v>
      </c>
      <c r="R47" s="31">
        <v>0</v>
      </c>
      <c r="S47" s="7">
        <v>0</v>
      </c>
      <c r="T47" s="7">
        <v>0</v>
      </c>
    </row>
    <row x14ac:dyDescent="0.25" r="48" customHeight="1" ht="18.75">
      <c r="A48" s="6" t="s">
        <v>126</v>
      </c>
      <c r="B48" s="6" t="s">
        <v>127</v>
      </c>
      <c r="C48" s="26" t="s">
        <v>128</v>
      </c>
      <c r="D48" s="27" t="s">
        <v>129</v>
      </c>
      <c r="E48" s="28">
        <v>46209</v>
      </c>
      <c r="F48" s="6" t="s">
        <v>46</v>
      </c>
      <c r="G48" s="6" t="s">
        <v>58</v>
      </c>
      <c r="H48" s="29">
        <v>1008</v>
      </c>
      <c r="I48" s="7">
        <v>63</v>
      </c>
      <c r="J48" s="7">
        <v>9</v>
      </c>
      <c r="K48" s="7">
        <f>rounddown(H48/I48, 0)</f>
      </c>
      <c r="L48" s="30">
        <v>7.7</v>
      </c>
      <c r="M48" s="7">
        <v>461</v>
      </c>
      <c r="N48" s="7">
        <v>71</v>
      </c>
      <c r="O48" s="7">
        <v>7</v>
      </c>
      <c r="P48" s="7">
        <v>16</v>
      </c>
      <c r="Q48" s="7">
        <v>8</v>
      </c>
      <c r="R48" s="31">
        <v>5</v>
      </c>
      <c r="S48" s="7">
        <v>0</v>
      </c>
      <c r="T48" s="7">
        <v>0</v>
      </c>
    </row>
    <row x14ac:dyDescent="0.25" r="49" customHeight="1" ht="18.75">
      <c r="A49" s="6" t="s">
        <v>126</v>
      </c>
      <c r="B49" s="6" t="s">
        <v>127</v>
      </c>
      <c r="C49" s="26" t="s">
        <v>130</v>
      </c>
      <c r="D49" s="27" t="s">
        <v>129</v>
      </c>
      <c r="E49" s="28">
        <v>46209</v>
      </c>
      <c r="F49" s="6" t="s">
        <v>46</v>
      </c>
      <c r="G49" s="6" t="s">
        <v>58</v>
      </c>
      <c r="H49" s="29">
        <v>1071</v>
      </c>
      <c r="I49" s="7">
        <v>63</v>
      </c>
      <c r="J49" s="7">
        <v>9</v>
      </c>
      <c r="K49" s="7">
        <f>rounddown(H49/I49, 0)</f>
      </c>
      <c r="L49" s="30">
        <v>7.7</v>
      </c>
      <c r="M49" s="7">
        <v>461</v>
      </c>
      <c r="N49" s="7">
        <v>71</v>
      </c>
      <c r="O49" s="7">
        <v>7</v>
      </c>
      <c r="P49" s="7">
        <v>16</v>
      </c>
      <c r="Q49" s="7">
        <v>8</v>
      </c>
      <c r="R49" s="31">
        <v>5</v>
      </c>
      <c r="S49" s="7">
        <v>0</v>
      </c>
      <c r="T49" s="7">
        <v>0</v>
      </c>
    </row>
    <row x14ac:dyDescent="0.25" r="50" customHeight="1" ht="18.75">
      <c r="A50" s="6" t="s">
        <v>126</v>
      </c>
      <c r="B50" s="6" t="s">
        <v>127</v>
      </c>
      <c r="C50" s="26" t="s">
        <v>131</v>
      </c>
      <c r="D50" s="27" t="s">
        <v>132</v>
      </c>
      <c r="E50" s="28">
        <v>46213</v>
      </c>
      <c r="F50" s="6" t="s">
        <v>46</v>
      </c>
      <c r="G50" s="6" t="s">
        <v>58</v>
      </c>
      <c r="H50" s="29">
        <v>252</v>
      </c>
      <c r="I50" s="7">
        <v>63</v>
      </c>
      <c r="J50" s="7">
        <v>9</v>
      </c>
      <c r="K50" s="7">
        <f>rounddown(H50/I50, 0)</f>
      </c>
      <c r="L50" s="30">
        <v>7.7</v>
      </c>
      <c r="M50" s="7">
        <v>461</v>
      </c>
      <c r="N50" s="7">
        <v>71</v>
      </c>
      <c r="O50" s="7">
        <v>7</v>
      </c>
      <c r="P50" s="7">
        <v>16</v>
      </c>
      <c r="Q50" s="7">
        <v>8</v>
      </c>
      <c r="R50" s="31">
        <v>5</v>
      </c>
      <c r="S50" s="7">
        <v>0</v>
      </c>
      <c r="T50" s="7">
        <v>0</v>
      </c>
    </row>
    <row x14ac:dyDescent="0.25" r="51" customHeight="1" ht="18.75">
      <c r="A51" s="6" t="s">
        <v>133</v>
      </c>
      <c r="B51" s="6" t="s">
        <v>134</v>
      </c>
      <c r="C51" s="26" t="s">
        <v>135</v>
      </c>
      <c r="D51" s="27" t="s">
        <v>136</v>
      </c>
      <c r="E51" s="28">
        <v>46934</v>
      </c>
      <c r="F51" s="6" t="s">
        <v>46</v>
      </c>
      <c r="G51" s="6" t="s">
        <v>47</v>
      </c>
      <c r="H51" s="29">
        <v>1326</v>
      </c>
      <c r="I51" s="7">
        <v>130</v>
      </c>
      <c r="J51" s="7">
        <v>13</v>
      </c>
      <c r="K51" s="7">
        <f>rounddown(H51/I51, 0)</f>
      </c>
      <c r="L51" s="30">
        <v>4.8</v>
      </c>
      <c r="M51" s="7">
        <v>249</v>
      </c>
      <c r="N51" s="7">
        <v>60</v>
      </c>
      <c r="O51" s="30">
        <v>0.5</v>
      </c>
      <c r="P51" s="30">
        <v>0.1</v>
      </c>
      <c r="Q51" s="7">
        <v>55</v>
      </c>
      <c r="R51" s="31">
        <v>0</v>
      </c>
      <c r="S51" s="7">
        <v>0</v>
      </c>
      <c r="T51" s="7">
        <v>0</v>
      </c>
    </row>
    <row x14ac:dyDescent="0.25" r="52" customHeight="1" ht="18.75">
      <c r="A52" s="6" t="s">
        <v>133</v>
      </c>
      <c r="B52" s="6" t="s">
        <v>134</v>
      </c>
      <c r="C52" s="26" t="s">
        <v>137</v>
      </c>
      <c r="D52" s="27" t="s">
        <v>136</v>
      </c>
      <c r="E52" s="28">
        <v>46934</v>
      </c>
      <c r="F52" s="6" t="s">
        <v>46</v>
      </c>
      <c r="G52" s="6" t="s">
        <v>47</v>
      </c>
      <c r="H52" s="29">
        <v>130</v>
      </c>
      <c r="I52" s="7">
        <v>130</v>
      </c>
      <c r="J52" s="7">
        <v>13</v>
      </c>
      <c r="K52" s="7">
        <f>rounddown(H52/I52, 0)</f>
      </c>
      <c r="L52" s="30">
        <v>4.8</v>
      </c>
      <c r="M52" s="7">
        <v>249</v>
      </c>
      <c r="N52" s="7">
        <v>60</v>
      </c>
      <c r="O52" s="30">
        <v>0.5</v>
      </c>
      <c r="P52" s="30">
        <v>0.1</v>
      </c>
      <c r="Q52" s="7">
        <v>55</v>
      </c>
      <c r="R52" s="31">
        <v>0</v>
      </c>
      <c r="S52" s="7">
        <v>0</v>
      </c>
      <c r="T52" s="7">
        <v>0</v>
      </c>
    </row>
    <row x14ac:dyDescent="0.25" r="53" customHeight="1" ht="18.75">
      <c r="A53" s="6" t="s">
        <v>133</v>
      </c>
      <c r="B53" s="6" t="s">
        <v>134</v>
      </c>
      <c r="C53" s="26" t="s">
        <v>138</v>
      </c>
      <c r="D53" s="27" t="s">
        <v>136</v>
      </c>
      <c r="E53" s="28">
        <v>46934</v>
      </c>
      <c r="F53" s="6" t="s">
        <v>46</v>
      </c>
      <c r="G53" s="6" t="s">
        <v>47</v>
      </c>
      <c r="H53" s="29">
        <v>1326</v>
      </c>
      <c r="I53" s="7">
        <v>130</v>
      </c>
      <c r="J53" s="7">
        <v>13</v>
      </c>
      <c r="K53" s="7">
        <f>rounddown(H53/I53, 0)</f>
      </c>
      <c r="L53" s="30">
        <v>4.8</v>
      </c>
      <c r="M53" s="7">
        <v>249</v>
      </c>
      <c r="N53" s="7">
        <v>60</v>
      </c>
      <c r="O53" s="30">
        <v>0.5</v>
      </c>
      <c r="P53" s="30">
        <v>0.1</v>
      </c>
      <c r="Q53" s="7">
        <v>55</v>
      </c>
      <c r="R53" s="31">
        <v>0</v>
      </c>
      <c r="S53" s="7">
        <v>0</v>
      </c>
      <c r="T53" s="7">
        <v>0</v>
      </c>
    </row>
    <row x14ac:dyDescent="0.25" r="54" customHeight="1" ht="18.75">
      <c r="A54" s="6" t="s">
        <v>133</v>
      </c>
      <c r="B54" s="6" t="s">
        <v>134</v>
      </c>
      <c r="C54" s="26" t="s">
        <v>139</v>
      </c>
      <c r="D54" s="27" t="s">
        <v>136</v>
      </c>
      <c r="E54" s="28">
        <v>46934</v>
      </c>
      <c r="F54" s="6" t="s">
        <v>46</v>
      </c>
      <c r="G54" s="6" t="s">
        <v>47</v>
      </c>
      <c r="H54" s="29">
        <v>1326</v>
      </c>
      <c r="I54" s="7">
        <v>130</v>
      </c>
      <c r="J54" s="7">
        <v>13</v>
      </c>
      <c r="K54" s="7">
        <f>rounddown(H54/I54, 0)</f>
      </c>
      <c r="L54" s="30">
        <v>4.8</v>
      </c>
      <c r="M54" s="7">
        <v>249</v>
      </c>
      <c r="N54" s="7">
        <v>60</v>
      </c>
      <c r="O54" s="30">
        <v>0.5</v>
      </c>
      <c r="P54" s="30">
        <v>0.1</v>
      </c>
      <c r="Q54" s="7">
        <v>55</v>
      </c>
      <c r="R54" s="31">
        <v>0</v>
      </c>
      <c r="S54" s="7">
        <v>0</v>
      </c>
      <c r="T54" s="7">
        <v>1</v>
      </c>
    </row>
    <row x14ac:dyDescent="0.25" r="55" customHeight="1" ht="18.75">
      <c r="A55" s="6" t="s">
        <v>133</v>
      </c>
      <c r="B55" s="6" t="s">
        <v>134</v>
      </c>
      <c r="C55" s="26" t="s">
        <v>140</v>
      </c>
      <c r="D55" s="27" t="s">
        <v>136</v>
      </c>
      <c r="E55" s="28">
        <v>46934</v>
      </c>
      <c r="F55" s="6" t="s">
        <v>46</v>
      </c>
      <c r="G55" s="6" t="s">
        <v>47</v>
      </c>
      <c r="H55" s="29">
        <v>1326</v>
      </c>
      <c r="I55" s="7">
        <v>130</v>
      </c>
      <c r="J55" s="7">
        <v>13</v>
      </c>
      <c r="K55" s="7">
        <f>rounddown(H55/I55, 0)</f>
      </c>
      <c r="L55" s="30">
        <v>4.8</v>
      </c>
      <c r="M55" s="7">
        <v>249</v>
      </c>
      <c r="N55" s="7">
        <v>60</v>
      </c>
      <c r="O55" s="30">
        <v>0.5</v>
      </c>
      <c r="P55" s="30">
        <v>0.1</v>
      </c>
      <c r="Q55" s="7">
        <v>55</v>
      </c>
      <c r="R55" s="31">
        <v>0</v>
      </c>
      <c r="S55" s="7">
        <v>0</v>
      </c>
      <c r="T55" s="7">
        <v>1</v>
      </c>
    </row>
    <row x14ac:dyDescent="0.25" r="56" customHeight="1" ht="18.75">
      <c r="A56" s="6" t="s">
        <v>133</v>
      </c>
      <c r="B56" s="6" t="s">
        <v>134</v>
      </c>
      <c r="C56" s="26" t="s">
        <v>141</v>
      </c>
      <c r="D56" s="27" t="s">
        <v>136</v>
      </c>
      <c r="E56" s="28">
        <v>46934</v>
      </c>
      <c r="F56" s="6" t="s">
        <v>46</v>
      </c>
      <c r="G56" s="6" t="s">
        <v>47</v>
      </c>
      <c r="H56" s="29">
        <v>1326</v>
      </c>
      <c r="I56" s="7">
        <v>130</v>
      </c>
      <c r="J56" s="7">
        <v>13</v>
      </c>
      <c r="K56" s="7">
        <f>rounddown(H56/I56, 0)</f>
      </c>
      <c r="L56" s="30">
        <v>4.8</v>
      </c>
      <c r="M56" s="7">
        <v>249</v>
      </c>
      <c r="N56" s="7">
        <v>60</v>
      </c>
      <c r="O56" s="30">
        <v>0.5</v>
      </c>
      <c r="P56" s="30">
        <v>0.1</v>
      </c>
      <c r="Q56" s="7">
        <v>55</v>
      </c>
      <c r="R56" s="31">
        <v>0</v>
      </c>
      <c r="S56" s="7">
        <v>0</v>
      </c>
      <c r="T56" s="7">
        <v>0</v>
      </c>
    </row>
    <row x14ac:dyDescent="0.25" r="57" customHeight="1" ht="18.75">
      <c r="A57" s="6" t="s">
        <v>133</v>
      </c>
      <c r="B57" s="6" t="s">
        <v>134</v>
      </c>
      <c r="C57" s="26" t="s">
        <v>142</v>
      </c>
      <c r="D57" s="27" t="s">
        <v>100</v>
      </c>
      <c r="E57" s="28">
        <v>46934</v>
      </c>
      <c r="F57" s="6" t="s">
        <v>46</v>
      </c>
      <c r="G57" s="6" t="s">
        <v>47</v>
      </c>
      <c r="H57" s="29">
        <v>91</v>
      </c>
      <c r="I57" s="7">
        <v>130</v>
      </c>
      <c r="J57" s="7">
        <v>13</v>
      </c>
      <c r="K57" s="7">
        <f>rounddown(H57/I57, 0)</f>
      </c>
      <c r="L57" s="30">
        <v>4.8</v>
      </c>
      <c r="M57" s="7">
        <v>249</v>
      </c>
      <c r="N57" s="7">
        <v>60</v>
      </c>
      <c r="O57" s="30">
        <v>0.5</v>
      </c>
      <c r="P57" s="30">
        <v>0.1</v>
      </c>
      <c r="Q57" s="7">
        <v>55</v>
      </c>
      <c r="R57" s="31">
        <v>0</v>
      </c>
      <c r="S57" s="7">
        <v>0</v>
      </c>
      <c r="T57" s="7">
        <v>0</v>
      </c>
    </row>
    <row x14ac:dyDescent="0.25" r="58" customHeight="1" ht="18.75">
      <c r="A58" s="6" t="s">
        <v>133</v>
      </c>
      <c r="B58" s="6" t="s">
        <v>134</v>
      </c>
      <c r="C58" s="26" t="s">
        <v>143</v>
      </c>
      <c r="D58" s="27" t="s">
        <v>100</v>
      </c>
      <c r="E58" s="28">
        <v>46934</v>
      </c>
      <c r="F58" s="6" t="s">
        <v>46</v>
      </c>
      <c r="G58" s="6" t="s">
        <v>47</v>
      </c>
      <c r="H58" s="29">
        <v>91</v>
      </c>
      <c r="I58" s="7">
        <v>130</v>
      </c>
      <c r="J58" s="7">
        <v>13</v>
      </c>
      <c r="K58" s="7">
        <f>rounddown(H58/I58, 0)</f>
      </c>
      <c r="L58" s="30">
        <v>4.8</v>
      </c>
      <c r="M58" s="7">
        <v>249</v>
      </c>
      <c r="N58" s="7">
        <v>60</v>
      </c>
      <c r="O58" s="30">
        <v>0.5</v>
      </c>
      <c r="P58" s="30">
        <v>0.1</v>
      </c>
      <c r="Q58" s="7">
        <v>55</v>
      </c>
      <c r="R58" s="31">
        <v>0</v>
      </c>
      <c r="S58" s="7">
        <v>0</v>
      </c>
      <c r="T58" s="7">
        <v>0</v>
      </c>
    </row>
    <row x14ac:dyDescent="0.25" r="59" customHeight="1" ht="18.75">
      <c r="A59" s="6" t="s">
        <v>133</v>
      </c>
      <c r="B59" s="6" t="s">
        <v>134</v>
      </c>
      <c r="C59" s="26" t="s">
        <v>144</v>
      </c>
      <c r="D59" s="27" t="s">
        <v>100</v>
      </c>
      <c r="E59" s="28">
        <v>46934</v>
      </c>
      <c r="F59" s="6" t="s">
        <v>46</v>
      </c>
      <c r="G59" s="6" t="s">
        <v>47</v>
      </c>
      <c r="H59" s="29">
        <v>91</v>
      </c>
      <c r="I59" s="7">
        <v>130</v>
      </c>
      <c r="J59" s="7">
        <v>13</v>
      </c>
      <c r="K59" s="7">
        <f>rounddown(H59/I59, 0)</f>
      </c>
      <c r="L59" s="30">
        <v>4.8</v>
      </c>
      <c r="M59" s="7">
        <v>249</v>
      </c>
      <c r="N59" s="7">
        <v>60</v>
      </c>
      <c r="O59" s="30">
        <v>0.5</v>
      </c>
      <c r="P59" s="30">
        <v>0.1</v>
      </c>
      <c r="Q59" s="7">
        <v>55</v>
      </c>
      <c r="R59" s="31">
        <v>0</v>
      </c>
      <c r="S59" s="7">
        <v>0</v>
      </c>
      <c r="T59" s="7">
        <v>0</v>
      </c>
    </row>
    <row x14ac:dyDescent="0.25" r="60" customHeight="1" ht="18.75">
      <c r="A60" s="6" t="s">
        <v>145</v>
      </c>
      <c r="B60" s="6" t="s">
        <v>146</v>
      </c>
      <c r="C60" s="26" t="s">
        <v>147</v>
      </c>
      <c r="D60" s="27" t="s">
        <v>86</v>
      </c>
      <c r="E60" s="28">
        <v>46691</v>
      </c>
      <c r="F60" s="6" t="s">
        <v>46</v>
      </c>
      <c r="G60" s="6" t="s">
        <v>47</v>
      </c>
      <c r="H60" s="29">
        <v>1150</v>
      </c>
      <c r="I60" s="7">
        <v>65</v>
      </c>
      <c r="J60" s="7">
        <v>13</v>
      </c>
      <c r="K60" s="7">
        <f>rounddown(H60/I60, 0)</f>
      </c>
      <c r="L60" s="30">
        <v>4.08</v>
      </c>
      <c r="M60" s="7">
        <v>349</v>
      </c>
      <c r="N60" s="30">
        <v>72.7</v>
      </c>
      <c r="O60" s="30">
        <v>10.3</v>
      </c>
      <c r="P60" s="30">
        <v>1.3</v>
      </c>
      <c r="Q60" s="7">
        <v>3</v>
      </c>
      <c r="R60" s="31">
        <v>0</v>
      </c>
      <c r="S60" s="7">
        <v>0</v>
      </c>
      <c r="T60" s="7">
        <v>0</v>
      </c>
    </row>
    <row x14ac:dyDescent="0.25" r="61" customHeight="1" ht="18.75">
      <c r="A61" s="6" t="s">
        <v>145</v>
      </c>
      <c r="B61" s="6" t="s">
        <v>146</v>
      </c>
      <c r="C61" s="26" t="s">
        <v>148</v>
      </c>
      <c r="D61" s="27" t="s">
        <v>86</v>
      </c>
      <c r="E61" s="28">
        <v>46691</v>
      </c>
      <c r="F61" s="6" t="s">
        <v>46</v>
      </c>
      <c r="G61" s="6" t="s">
        <v>47</v>
      </c>
      <c r="H61" s="29">
        <v>1390</v>
      </c>
      <c r="I61" s="7">
        <v>65</v>
      </c>
      <c r="J61" s="7">
        <v>13</v>
      </c>
      <c r="K61" s="7">
        <f>rounddown(H61/I61, 0)</f>
      </c>
      <c r="L61" s="30">
        <v>4.08</v>
      </c>
      <c r="M61" s="7">
        <v>349</v>
      </c>
      <c r="N61" s="30">
        <v>72.7</v>
      </c>
      <c r="O61" s="30">
        <v>10.3</v>
      </c>
      <c r="P61" s="30">
        <v>1.3</v>
      </c>
      <c r="Q61" s="7">
        <v>3</v>
      </c>
      <c r="R61" s="31">
        <v>0</v>
      </c>
      <c r="S61" s="7">
        <v>0</v>
      </c>
      <c r="T61" s="7">
        <v>1</v>
      </c>
    </row>
    <row x14ac:dyDescent="0.25" r="62" customHeight="1" ht="18.75">
      <c r="A62" s="6" t="s">
        <v>145</v>
      </c>
      <c r="B62" s="6" t="s">
        <v>146</v>
      </c>
      <c r="C62" s="26" t="s">
        <v>149</v>
      </c>
      <c r="D62" s="27" t="s">
        <v>66</v>
      </c>
      <c r="E62" s="28">
        <v>46691</v>
      </c>
      <c r="F62" s="6" t="s">
        <v>46</v>
      </c>
      <c r="G62" s="6" t="s">
        <v>47</v>
      </c>
      <c r="H62" s="29">
        <v>1580</v>
      </c>
      <c r="I62" s="7">
        <v>65</v>
      </c>
      <c r="J62" s="7">
        <v>13</v>
      </c>
      <c r="K62" s="7">
        <f>rounddown(H62/I62, 0)</f>
      </c>
      <c r="L62" s="30">
        <v>4.08</v>
      </c>
      <c r="M62" s="7">
        <v>349</v>
      </c>
      <c r="N62" s="30">
        <v>72.7</v>
      </c>
      <c r="O62" s="30">
        <v>10.3</v>
      </c>
      <c r="P62" s="30">
        <v>1.3</v>
      </c>
      <c r="Q62" s="7">
        <v>3</v>
      </c>
      <c r="R62" s="31">
        <v>0</v>
      </c>
      <c r="S62" s="7">
        <v>0</v>
      </c>
      <c r="T62" s="7">
        <v>0</v>
      </c>
    </row>
    <row x14ac:dyDescent="0.25" r="63" customHeight="1" ht="18.75">
      <c r="A63" s="6" t="s">
        <v>145</v>
      </c>
      <c r="B63" s="6" t="s">
        <v>146</v>
      </c>
      <c r="C63" s="26" t="s">
        <v>150</v>
      </c>
      <c r="D63" s="27" t="s">
        <v>66</v>
      </c>
      <c r="E63" s="28">
        <v>46691</v>
      </c>
      <c r="F63" s="6" t="s">
        <v>46</v>
      </c>
      <c r="G63" s="6" t="s">
        <v>47</v>
      </c>
      <c r="H63" s="29">
        <v>720</v>
      </c>
      <c r="I63" s="7">
        <v>65</v>
      </c>
      <c r="J63" s="7">
        <v>13</v>
      </c>
      <c r="K63" s="7">
        <f>rounddown(H63/I63, 0)</f>
      </c>
      <c r="L63" s="30">
        <v>4.08</v>
      </c>
      <c r="M63" s="7">
        <v>349</v>
      </c>
      <c r="N63" s="30">
        <v>72.7</v>
      </c>
      <c r="O63" s="30">
        <v>10.3</v>
      </c>
      <c r="P63" s="30">
        <v>1.3</v>
      </c>
      <c r="Q63" s="7">
        <v>3</v>
      </c>
      <c r="R63" s="31">
        <v>0</v>
      </c>
      <c r="S63" s="7">
        <v>0</v>
      </c>
      <c r="T63" s="7">
        <v>0</v>
      </c>
    </row>
    <row x14ac:dyDescent="0.25" r="64" customHeight="1" ht="18.75">
      <c r="A64" s="6" t="s">
        <v>145</v>
      </c>
      <c r="B64" s="6" t="s">
        <v>146</v>
      </c>
      <c r="C64" s="26" t="s">
        <v>151</v>
      </c>
      <c r="D64" s="27" t="s">
        <v>66</v>
      </c>
      <c r="E64" s="28">
        <v>46691</v>
      </c>
      <c r="F64" s="6" t="s">
        <v>46</v>
      </c>
      <c r="G64" s="6" t="s">
        <v>47</v>
      </c>
      <c r="H64" s="29">
        <v>715</v>
      </c>
      <c r="I64" s="7">
        <v>65</v>
      </c>
      <c r="J64" s="7">
        <v>13</v>
      </c>
      <c r="K64" s="7">
        <f>rounddown(H64/I64, 0)</f>
      </c>
      <c r="L64" s="30">
        <v>4.08</v>
      </c>
      <c r="M64" s="7">
        <v>349</v>
      </c>
      <c r="N64" s="30">
        <v>72.7</v>
      </c>
      <c r="O64" s="30">
        <v>10.3</v>
      </c>
      <c r="P64" s="30">
        <v>1.3</v>
      </c>
      <c r="Q64" s="7">
        <v>3</v>
      </c>
      <c r="R64" s="31">
        <v>0</v>
      </c>
      <c r="S64" s="7">
        <v>0</v>
      </c>
      <c r="T64" s="7">
        <v>0</v>
      </c>
    </row>
    <row x14ac:dyDescent="0.25" r="65" customHeight="1" ht="18.75">
      <c r="A65" s="6" t="s">
        <v>145</v>
      </c>
      <c r="B65" s="6" t="s">
        <v>146</v>
      </c>
      <c r="C65" s="26" t="s">
        <v>152</v>
      </c>
      <c r="D65" s="27" t="s">
        <v>66</v>
      </c>
      <c r="E65" s="28">
        <v>46691</v>
      </c>
      <c r="F65" s="6" t="s">
        <v>46</v>
      </c>
      <c r="G65" s="6" t="s">
        <v>47</v>
      </c>
      <c r="H65" s="29">
        <v>195</v>
      </c>
      <c r="I65" s="7">
        <v>65</v>
      </c>
      <c r="J65" s="7">
        <v>13</v>
      </c>
      <c r="K65" s="7">
        <f>rounddown(H65/I65, 0)</f>
      </c>
      <c r="L65" s="30">
        <v>4.08</v>
      </c>
      <c r="M65" s="7">
        <v>349</v>
      </c>
      <c r="N65" s="30">
        <v>72.7</v>
      </c>
      <c r="O65" s="30">
        <v>10.3</v>
      </c>
      <c r="P65" s="30">
        <v>1.3</v>
      </c>
      <c r="Q65" s="7">
        <v>3</v>
      </c>
      <c r="R65" s="31">
        <v>0</v>
      </c>
      <c r="S65" s="7">
        <v>0</v>
      </c>
      <c r="T65" s="7">
        <v>0</v>
      </c>
    </row>
    <row x14ac:dyDescent="0.25" r="66" customHeight="1" ht="18.75">
      <c r="A66" s="6" t="s">
        <v>153</v>
      </c>
      <c r="B66" s="6" t="s">
        <v>154</v>
      </c>
      <c r="C66" s="26" t="s">
        <v>155</v>
      </c>
      <c r="D66" s="27" t="s">
        <v>156</v>
      </c>
      <c r="E66" s="28">
        <v>109939</v>
      </c>
      <c r="F66" s="6" t="s">
        <v>46</v>
      </c>
      <c r="G66" s="6" t="s">
        <v>58</v>
      </c>
      <c r="H66" s="29">
        <v>951</v>
      </c>
      <c r="I66" s="7">
        <v>72</v>
      </c>
      <c r="J66" s="7">
        <v>12</v>
      </c>
      <c r="K66" s="7">
        <f>rounddown(H66/I66, 0)</f>
      </c>
      <c r="L66" s="7">
        <v>10</v>
      </c>
      <c r="M66" s="7">
        <v>400</v>
      </c>
      <c r="N66" s="7">
        <v>100</v>
      </c>
      <c r="O66" s="7">
        <v>0</v>
      </c>
      <c r="P66" s="7">
        <v>0</v>
      </c>
      <c r="Q66" s="7">
        <v>100</v>
      </c>
      <c r="R66" s="31">
        <v>0</v>
      </c>
      <c r="S66" s="7">
        <v>0</v>
      </c>
      <c r="T66" s="7">
        <v>0</v>
      </c>
    </row>
    <row x14ac:dyDescent="0.25" r="67" customHeight="1" ht="18.75">
      <c r="A67" s="6" t="s">
        <v>153</v>
      </c>
      <c r="B67" s="6" t="s">
        <v>154</v>
      </c>
      <c r="C67" s="26" t="s">
        <v>157</v>
      </c>
      <c r="D67" s="27" t="s">
        <v>158</v>
      </c>
      <c r="E67" s="28">
        <v>109939</v>
      </c>
      <c r="F67" s="6" t="s">
        <v>46</v>
      </c>
      <c r="G67" s="6" t="s">
        <v>58</v>
      </c>
      <c r="H67" s="29">
        <v>960</v>
      </c>
      <c r="I67" s="7">
        <v>72</v>
      </c>
      <c r="J67" s="7">
        <v>12</v>
      </c>
      <c r="K67" s="7">
        <f>rounddown(H67/I67, 0)</f>
      </c>
      <c r="L67" s="7">
        <v>10</v>
      </c>
      <c r="M67" s="7">
        <v>400</v>
      </c>
      <c r="N67" s="7">
        <v>100</v>
      </c>
      <c r="O67" s="7">
        <v>0</v>
      </c>
      <c r="P67" s="7">
        <v>0</v>
      </c>
      <c r="Q67" s="7">
        <v>100</v>
      </c>
      <c r="R67" s="31">
        <v>0</v>
      </c>
      <c r="S67" s="7">
        <v>0</v>
      </c>
      <c r="T67" s="7">
        <v>0</v>
      </c>
    </row>
    <row x14ac:dyDescent="0.25" r="68" customHeight="1" ht="18.75">
      <c r="A68" s="6"/>
      <c r="B68" s="6"/>
      <c r="C68" s="7"/>
      <c r="D68" s="6"/>
      <c r="E68" s="13"/>
      <c r="F68" s="6"/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x14ac:dyDescent="0.25" r="69" customHeight="1" ht="18.75">
      <c r="A69" s="6"/>
      <c r="B69" s="6"/>
      <c r="C69" s="7"/>
      <c r="D69" s="6"/>
      <c r="E69" s="13"/>
      <c r="F69" s="6"/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x14ac:dyDescent="0.25" r="70" customHeight="1" ht="18.75">
      <c r="A70" s="6"/>
      <c r="B70" s="6"/>
      <c r="C70" s="7"/>
      <c r="D70" s="6"/>
      <c r="E70" s="13"/>
      <c r="F70" s="6"/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x14ac:dyDescent="0.25" r="71" customHeight="1" ht="18.75">
      <c r="A71" s="6"/>
      <c r="B71" s="6"/>
      <c r="C71" s="7"/>
      <c r="D71" s="6"/>
      <c r="E71" s="13"/>
      <c r="F71" s="6"/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x14ac:dyDescent="0.25" r="72" customHeight="1" ht="18.75">
      <c r="A72" s="6"/>
      <c r="B72" s="6"/>
      <c r="C72" s="7"/>
      <c r="D72" s="6"/>
      <c r="E72" s="13"/>
      <c r="F72" s="6"/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x14ac:dyDescent="0.25" r="73" customHeight="1" ht="18.75">
      <c r="A73" s="6"/>
      <c r="B73" s="6"/>
      <c r="C73" s="7"/>
      <c r="D73" s="6"/>
      <c r="E73" s="13"/>
      <c r="F73" s="6"/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x14ac:dyDescent="0.25" r="74" customHeight="1" ht="18.75">
      <c r="A74" s="6"/>
      <c r="B74" s="6"/>
      <c r="C74" s="7"/>
      <c r="D74" s="6"/>
      <c r="E74" s="13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x14ac:dyDescent="0.25" r="75" customHeight="1" ht="18.75">
      <c r="A75" s="6"/>
      <c r="B75" s="6"/>
      <c r="C75" s="7"/>
      <c r="D75" s="6"/>
      <c r="E75" s="13"/>
      <c r="F75" s="6"/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x14ac:dyDescent="0.25" r="76" customHeight="1" ht="18.75">
      <c r="A76" s="6"/>
      <c r="B76" s="6"/>
      <c r="C76" s="7"/>
      <c r="D76" s="6"/>
      <c r="E76" s="13"/>
      <c r="F76" s="6"/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x14ac:dyDescent="0.25" r="77" customHeight="1" ht="18.75">
      <c r="A77" s="6"/>
      <c r="B77" s="6"/>
      <c r="C77" s="7"/>
      <c r="D77" s="6"/>
      <c r="E77" s="13"/>
      <c r="F77" s="6"/>
      <c r="G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x14ac:dyDescent="0.25" r="78" customHeight="1" ht="18.75">
      <c r="A78" s="6"/>
      <c r="B78" s="6"/>
      <c r="C78" s="7"/>
      <c r="D78" s="6"/>
      <c r="E78" s="13"/>
      <c r="F78" s="6"/>
      <c r="G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x14ac:dyDescent="0.25" r="79" customHeight="1" ht="18.75">
      <c r="A79" s="6"/>
      <c r="B79" s="6"/>
      <c r="C79" s="7"/>
      <c r="D79" s="6"/>
      <c r="E79" s="13"/>
      <c r="F79" s="6"/>
      <c r="G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x14ac:dyDescent="0.25" r="80" customHeight="1" ht="18.75">
      <c r="A80" s="6"/>
      <c r="B80" s="6"/>
      <c r="C80" s="7"/>
      <c r="D80" s="6"/>
      <c r="E80" s="13"/>
      <c r="F80" s="6"/>
      <c r="G80" s="6"/>
      <c r="H80" s="16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29"/>
  <sheetViews>
    <sheetView workbookViewId="0"/>
  </sheetViews>
  <sheetFormatPr defaultRowHeight="15" x14ac:dyDescent="0.25"/>
  <cols>
    <col min="1" max="1" style="20" width="15.290714285714287" customWidth="1" bestFit="1"/>
    <col min="2" max="2" style="21" width="18.433571428571426" customWidth="1" bestFit="1"/>
    <col min="3" max="3" style="22" width="22.719285714285714" customWidth="1" bestFit="1"/>
    <col min="4" max="4" style="20" width="15.290714285714287" customWidth="1" bestFit="1"/>
    <col min="5" max="5" style="23" width="15.43357142857143" customWidth="1" bestFit="1"/>
    <col min="6" max="6" style="24" width="8.005" customWidth="1" bestFit="1"/>
    <col min="7" max="7" style="24" width="7.433571428571429" customWidth="1" bestFit="1"/>
    <col min="8" max="8" style="24" width="95.86214285714286" customWidth="1" bestFit="1"/>
    <col min="9" max="9" style="24" width="13.576428571428572" customWidth="1" bestFit="1"/>
    <col min="10" max="10" style="24" width="13.576428571428572" customWidth="1" bestFit="1"/>
    <col min="11" max="11" style="24" width="15.290714285714287" customWidth="1" bestFit="1"/>
    <col min="12" max="12" style="24" width="95.86214285714286" customWidth="1" bestFit="1"/>
    <col min="13" max="13" style="24" width="13.576428571428572" customWidth="1" bestFit="1"/>
    <col min="14" max="14" style="24" width="13.576428571428572" customWidth="1" bestFit="1"/>
    <col min="15" max="15" style="24" width="13.576428571428572" customWidth="1" bestFit="1"/>
    <col min="16" max="16" style="24" width="13.576428571428572" customWidth="1" bestFit="1"/>
    <col min="17" max="17" style="24" width="13.576428571428572" customWidth="1" bestFit="1"/>
    <col min="18" max="18" style="24" width="13.576428571428572" customWidth="1" bestFit="1"/>
    <col min="19" max="19" style="24" width="13.576428571428572" customWidth="1" bestFit="1"/>
    <col min="20" max="20" style="24" width="13.576428571428572" customWidth="1" bestFit="1"/>
    <col min="21" max="21" style="24" width="13.576428571428572" customWidth="1" bestFit="1"/>
    <col min="22" max="22" style="24" width="13.576428571428572" customWidth="1" bestFit="1"/>
    <col min="23" max="23" style="24" width="13.576428571428572" customWidth="1" bestFit="1"/>
    <col min="24" max="24" style="24" width="13.576428571428572" customWidth="1" bestFit="1"/>
    <col min="25" max="25" style="24" width="13.576428571428572" customWidth="1" bestFit="1"/>
    <col min="26" max="26" style="2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/>
      <c r="J1" s="6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x14ac:dyDescent="0.25" r="2" customHeight="1" ht="18.75">
      <c r="A2" s="7">
        <v>101238323</v>
      </c>
      <c r="B2" s="8">
        <v>45901</v>
      </c>
      <c r="C2" s="9">
        <v>45658.38888888889</v>
      </c>
      <c r="D2" s="7">
        <v>102234</v>
      </c>
      <c r="E2" s="10">
        <v>443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x14ac:dyDescent="0.25" r="3" customHeight="1" ht="18.75">
      <c r="A3" s="7">
        <v>101238328</v>
      </c>
      <c r="B3" s="8">
        <v>45901</v>
      </c>
      <c r="C3" s="9">
        <v>45658.395833333336</v>
      </c>
      <c r="D3" s="7">
        <v>102613</v>
      </c>
      <c r="E3" s="10">
        <v>68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x14ac:dyDescent="0.25" r="4" customHeight="1" ht="18.75">
      <c r="A4" s="7">
        <v>101238330</v>
      </c>
      <c r="B4" s="8">
        <v>45901</v>
      </c>
      <c r="C4" s="9">
        <v>45658.40972222222</v>
      </c>
      <c r="D4" s="7">
        <v>102675</v>
      </c>
      <c r="E4" s="10">
        <v>154</v>
      </c>
      <c r="F4" s="6" t="s">
        <v>8</v>
      </c>
      <c r="G4" s="6" t="s">
        <v>8</v>
      </c>
      <c r="H4" s="6" t="s">
        <v>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8.75">
      <c r="A5" s="7">
        <v>101238332</v>
      </c>
      <c r="B5" s="8">
        <v>45901</v>
      </c>
      <c r="C5" s="9">
        <v>45658.416666666664</v>
      </c>
      <c r="D5" s="7">
        <v>119014</v>
      </c>
      <c r="E5" s="10">
        <v>215</v>
      </c>
      <c r="F5" s="6"/>
      <c r="G5" s="6" t="s">
        <v>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8.75">
      <c r="A6" s="7">
        <v>101238334</v>
      </c>
      <c r="B6" s="8">
        <v>45901</v>
      </c>
      <c r="C6" s="9">
        <v>45658.430555555555</v>
      </c>
      <c r="D6" s="7">
        <v>102592</v>
      </c>
      <c r="E6" s="10">
        <v>103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8.75">
      <c r="A7" s="7">
        <v>101238336</v>
      </c>
      <c r="B7" s="8">
        <v>45901</v>
      </c>
      <c r="C7" s="9">
        <v>45658.444444444445</v>
      </c>
      <c r="D7" s="7">
        <v>102382</v>
      </c>
      <c r="E7" s="10">
        <v>1002</v>
      </c>
      <c r="F7" s="6"/>
      <c r="G7" s="6" t="s">
        <v>8</v>
      </c>
      <c r="H7" s="6" t="s">
        <v>10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9.5">
      <c r="A8" s="7">
        <v>101238337</v>
      </c>
      <c r="B8" s="8">
        <v>45901</v>
      </c>
      <c r="C8" s="9">
        <v>45658.45138888889</v>
      </c>
      <c r="D8" s="7">
        <v>102442</v>
      </c>
      <c r="E8" s="10">
        <v>65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9.5">
      <c r="A9" s="7">
        <v>101238338</v>
      </c>
      <c r="B9" s="8">
        <v>45901</v>
      </c>
      <c r="C9" s="9">
        <v>45658.458333333336</v>
      </c>
      <c r="D9" s="7">
        <v>102349</v>
      </c>
      <c r="E9" s="10">
        <v>64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9.5">
      <c r="A10" s="7">
        <v>101238340</v>
      </c>
      <c r="B10" s="8">
        <v>45901</v>
      </c>
      <c r="C10" s="9">
        <v>45658.47222222222</v>
      </c>
      <c r="D10" s="7">
        <v>102401</v>
      </c>
      <c r="E10" s="10">
        <v>149</v>
      </c>
      <c r="F10" s="6" t="s">
        <v>8</v>
      </c>
      <c r="G10" s="6"/>
      <c r="H10" s="6" t="s">
        <v>11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9.5">
      <c r="A11" s="7">
        <v>101238341</v>
      </c>
      <c r="B11" s="8">
        <v>45901</v>
      </c>
      <c r="C11" s="9">
        <v>45658.479166666664</v>
      </c>
      <c r="D11" s="7">
        <v>102237</v>
      </c>
      <c r="E11" s="10">
        <v>17</v>
      </c>
      <c r="F11" s="6" t="s">
        <v>8</v>
      </c>
      <c r="G11" s="6"/>
      <c r="H11" s="6" t="s">
        <v>12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9.5">
      <c r="A12" s="7">
        <v>101238342</v>
      </c>
      <c r="B12" s="8">
        <v>45901</v>
      </c>
      <c r="C12" s="9">
        <v>45658.48611111111</v>
      </c>
      <c r="D12" s="7">
        <v>102245</v>
      </c>
      <c r="E12" s="10">
        <v>72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9.5">
      <c r="A13" s="7">
        <v>101238329</v>
      </c>
      <c r="B13" s="8">
        <v>45901</v>
      </c>
      <c r="C13" s="9">
        <v>45658.40277777778</v>
      </c>
      <c r="D13" s="7">
        <v>102632</v>
      </c>
      <c r="E13" s="10">
        <v>82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9.5">
      <c r="A14" s="11">
        <v>111113668</v>
      </c>
      <c r="B14" s="8">
        <v>45901</v>
      </c>
      <c r="C14" s="9">
        <v>45658.4375</v>
      </c>
      <c r="D14" s="11">
        <v>111920</v>
      </c>
      <c r="E14" s="10">
        <v>65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9.5">
      <c r="A15" s="7">
        <v>101238746</v>
      </c>
      <c r="B15" s="8">
        <v>45902</v>
      </c>
      <c r="C15" s="9">
        <v>45658.36111111111</v>
      </c>
      <c r="D15" s="7">
        <v>102331</v>
      </c>
      <c r="E15" s="10">
        <v>399</v>
      </c>
      <c r="F15" s="6" t="s">
        <v>8</v>
      </c>
      <c r="G15" s="6"/>
      <c r="H15" s="6" t="s">
        <v>12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9.5">
      <c r="A16" s="7">
        <v>101238757</v>
      </c>
      <c r="B16" s="8">
        <v>45902</v>
      </c>
      <c r="C16" s="9">
        <v>45658.36111111111</v>
      </c>
      <c r="D16" s="7">
        <v>119050</v>
      </c>
      <c r="E16" s="10">
        <v>879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9.5">
      <c r="A17" s="7">
        <v>101238751</v>
      </c>
      <c r="B17" s="8">
        <v>45902</v>
      </c>
      <c r="C17" s="9">
        <v>45658.38888888889</v>
      </c>
      <c r="D17" s="7">
        <v>102392</v>
      </c>
      <c r="E17" s="10">
        <v>237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9.5">
      <c r="A18" s="7">
        <v>101247730</v>
      </c>
      <c r="B18" s="8">
        <v>45902</v>
      </c>
      <c r="C18" s="9">
        <v>45658.395833333336</v>
      </c>
      <c r="D18" s="7">
        <v>102416</v>
      </c>
      <c r="E18" s="10">
        <v>313</v>
      </c>
      <c r="F18" s="6"/>
      <c r="G18" s="6"/>
      <c r="H18" s="6" t="s">
        <v>13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9.5">
      <c r="A19" s="7">
        <v>101238753</v>
      </c>
      <c r="B19" s="8">
        <v>45902</v>
      </c>
      <c r="C19" s="9">
        <v>45658.40277777778</v>
      </c>
      <c r="D19" s="7">
        <v>102460</v>
      </c>
      <c r="E19" s="10">
        <v>303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9.5">
      <c r="A20" s="7">
        <v>101238755</v>
      </c>
      <c r="B20" s="8">
        <v>45902</v>
      </c>
      <c r="C20" s="9">
        <v>45658.416666666664</v>
      </c>
      <c r="D20" s="7">
        <v>109409</v>
      </c>
      <c r="E20" s="10">
        <v>130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9.5">
      <c r="A21" s="7">
        <v>101238756</v>
      </c>
      <c r="B21" s="8">
        <v>45902</v>
      </c>
      <c r="C21" s="9">
        <v>45658.430555555555</v>
      </c>
      <c r="D21" s="7">
        <v>111403</v>
      </c>
      <c r="E21" s="10">
        <v>176</v>
      </c>
      <c r="F21" s="6"/>
      <c r="G21" s="6"/>
      <c r="H21" s="6" t="s">
        <v>14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9.5">
      <c r="A22" s="7">
        <v>101238760</v>
      </c>
      <c r="B22" s="8">
        <v>45902</v>
      </c>
      <c r="C22" s="9">
        <v>45658.45138888889</v>
      </c>
      <c r="D22" s="7">
        <v>102399</v>
      </c>
      <c r="E22" s="10">
        <v>142</v>
      </c>
      <c r="F22" s="6" t="s">
        <v>8</v>
      </c>
      <c r="G22" s="6"/>
      <c r="H22" s="6" t="s">
        <v>12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9.5">
      <c r="A23" s="7">
        <v>101238761</v>
      </c>
      <c r="B23" s="8">
        <v>45902</v>
      </c>
      <c r="C23" s="9">
        <v>45658.458333333336</v>
      </c>
      <c r="D23" s="7">
        <v>109424</v>
      </c>
      <c r="E23" s="10">
        <v>336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9.5">
      <c r="A24" s="7">
        <v>101238762</v>
      </c>
      <c r="B24" s="8">
        <v>45902</v>
      </c>
      <c r="C24" s="9">
        <v>45658.46527777778</v>
      </c>
      <c r="D24" s="7">
        <v>102323</v>
      </c>
      <c r="E24" s="10">
        <v>254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9.5">
      <c r="A25" s="7">
        <v>101242665</v>
      </c>
      <c r="B25" s="8">
        <v>45902</v>
      </c>
      <c r="C25" s="9">
        <v>45658.46527777778</v>
      </c>
      <c r="D25" s="7">
        <v>118398</v>
      </c>
      <c r="E25" s="10">
        <v>457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9.5">
      <c r="A26" s="7">
        <v>101238763</v>
      </c>
      <c r="B26" s="8">
        <v>45902</v>
      </c>
      <c r="C26" s="9">
        <v>45658.47222222222</v>
      </c>
      <c r="D26" s="7">
        <v>102270</v>
      </c>
      <c r="E26" s="10">
        <v>50</v>
      </c>
      <c r="F26" s="6" t="s">
        <v>8</v>
      </c>
      <c r="G26" s="6"/>
      <c r="H26" s="6" t="s">
        <v>12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9.5">
      <c r="A27" s="7">
        <v>101238768</v>
      </c>
      <c r="B27" s="8">
        <v>45902</v>
      </c>
      <c r="C27" s="9">
        <v>45658.506944444445</v>
      </c>
      <c r="D27" s="7">
        <v>102251</v>
      </c>
      <c r="E27" s="10">
        <v>57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7">
        <v>101238769</v>
      </c>
      <c r="B28" s="8">
        <v>45902</v>
      </c>
      <c r="C28" s="9">
        <v>45658.51388888889</v>
      </c>
      <c r="D28" s="7">
        <v>112391</v>
      </c>
      <c r="E28" s="10">
        <v>70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11">
        <v>123212211</v>
      </c>
      <c r="B29" s="8">
        <v>45902</v>
      </c>
      <c r="C29" s="12">
        <v>45658.520833333336</v>
      </c>
      <c r="D29" s="11">
        <v>102248</v>
      </c>
      <c r="E29" s="10">
        <v>259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11">
        <v>112332154</v>
      </c>
      <c r="B30" s="8">
        <v>45902</v>
      </c>
      <c r="C30" s="12">
        <v>45658.52777777778</v>
      </c>
      <c r="D30" s="11">
        <v>102252</v>
      </c>
      <c r="E30" s="10">
        <v>135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11">
        <v>101238754</v>
      </c>
      <c r="B31" s="8">
        <v>45902</v>
      </c>
      <c r="C31" s="12">
        <v>45658.40972222222</v>
      </c>
      <c r="D31" s="11">
        <v>106580</v>
      </c>
      <c r="E31" s="10">
        <v>65</v>
      </c>
      <c r="F31" s="6" t="s">
        <v>8</v>
      </c>
      <c r="G31" s="6"/>
      <c r="H31" s="6" t="s">
        <v>12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11">
        <v>101238758</v>
      </c>
      <c r="B32" s="8">
        <v>45902</v>
      </c>
      <c r="C32" s="12">
        <v>45658.444444444445</v>
      </c>
      <c r="D32" s="11">
        <v>120423</v>
      </c>
      <c r="E32" s="10">
        <v>720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7">
        <v>101239170</v>
      </c>
      <c r="B33" s="8">
        <v>45903</v>
      </c>
      <c r="C33" s="9">
        <v>45658.444444444445</v>
      </c>
      <c r="D33" s="7">
        <v>102739</v>
      </c>
      <c r="E33" s="10">
        <v>177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7">
        <v>101239157</v>
      </c>
      <c r="B34" s="8">
        <v>45903</v>
      </c>
      <c r="C34" s="9">
        <v>45658.36111111111</v>
      </c>
      <c r="D34" s="7">
        <v>102199</v>
      </c>
      <c r="E34" s="10">
        <v>488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7">
        <v>101238319</v>
      </c>
      <c r="B35" s="8">
        <v>45903</v>
      </c>
      <c r="C35" s="9">
        <v>45658.36111111111</v>
      </c>
      <c r="D35" s="7">
        <v>114200</v>
      </c>
      <c r="E35" s="10">
        <v>251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7">
        <v>101239158</v>
      </c>
      <c r="B36" s="8">
        <v>45903</v>
      </c>
      <c r="C36" s="9">
        <v>45658.368055555555</v>
      </c>
      <c r="D36" s="7">
        <v>102285</v>
      </c>
      <c r="E36" s="10">
        <v>75</v>
      </c>
      <c r="F36" s="6"/>
      <c r="G36" s="6" t="s">
        <v>8</v>
      </c>
      <c r="H36" s="6" t="s">
        <v>15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7">
        <v>101239160</v>
      </c>
      <c r="B37" s="8">
        <v>45903</v>
      </c>
      <c r="C37" s="9">
        <v>45658.375</v>
      </c>
      <c r="D37" s="7">
        <v>102324</v>
      </c>
      <c r="E37" s="10">
        <v>349</v>
      </c>
      <c r="F37" s="6" t="s">
        <v>8</v>
      </c>
      <c r="G37" s="6"/>
      <c r="H37" s="6" t="s">
        <v>16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7">
        <v>101239161</v>
      </c>
      <c r="B38" s="8">
        <v>45903</v>
      </c>
      <c r="C38" s="9">
        <v>45658.381944444445</v>
      </c>
      <c r="D38" s="7">
        <v>102335</v>
      </c>
      <c r="E38" s="10">
        <v>197</v>
      </c>
      <c r="F38" s="6" t="s">
        <v>8</v>
      </c>
      <c r="G38" s="6"/>
      <c r="H38" s="6" t="s">
        <v>11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8.75">
      <c r="A39" s="7">
        <v>101239162</v>
      </c>
      <c r="B39" s="8">
        <v>45903</v>
      </c>
      <c r="C39" s="9">
        <v>45658.38888888889</v>
      </c>
      <c r="D39" s="7">
        <v>102342</v>
      </c>
      <c r="E39" s="10">
        <v>155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8.75">
      <c r="A40" s="7">
        <v>101239163</v>
      </c>
      <c r="B40" s="8">
        <v>45903</v>
      </c>
      <c r="C40" s="9">
        <v>45658.395833333336</v>
      </c>
      <c r="D40" s="7">
        <v>102379</v>
      </c>
      <c r="E40" s="10">
        <v>198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8.75">
      <c r="A41" s="7">
        <v>101239164</v>
      </c>
      <c r="B41" s="8">
        <v>45903</v>
      </c>
      <c r="C41" s="9">
        <v>45658.40277777778</v>
      </c>
      <c r="D41" s="7">
        <v>102400</v>
      </c>
      <c r="E41" s="10">
        <v>214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8.75">
      <c r="A42" s="7">
        <v>101239165</v>
      </c>
      <c r="B42" s="8">
        <v>45903</v>
      </c>
      <c r="C42" s="9">
        <v>45658.40972222222</v>
      </c>
      <c r="D42" s="7">
        <v>102408</v>
      </c>
      <c r="E42" s="10">
        <v>168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8.75">
      <c r="A43" s="7">
        <v>101239173</v>
      </c>
      <c r="B43" s="8">
        <v>45903</v>
      </c>
      <c r="C43" s="9">
        <v>45658.416666666664</v>
      </c>
      <c r="D43" s="7">
        <v>102573</v>
      </c>
      <c r="E43" s="10">
        <v>86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8.75">
      <c r="A44" s="7">
        <v>101239169</v>
      </c>
      <c r="B44" s="8">
        <v>45903</v>
      </c>
      <c r="C44" s="9">
        <v>45658.4375</v>
      </c>
      <c r="D44" s="7">
        <v>114006</v>
      </c>
      <c r="E44" s="10">
        <v>65</v>
      </c>
      <c r="F44" s="6" t="s">
        <v>8</v>
      </c>
      <c r="G44" s="6" t="s">
        <v>8</v>
      </c>
      <c r="H44" s="6" t="s">
        <v>17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8.75">
      <c r="A45" s="7">
        <v>101239172</v>
      </c>
      <c r="B45" s="8">
        <v>45903</v>
      </c>
      <c r="C45" s="9">
        <v>45658.458333333336</v>
      </c>
      <c r="D45" s="7">
        <v>114367</v>
      </c>
      <c r="E45" s="10">
        <v>70</v>
      </c>
      <c r="F45" s="6"/>
      <c r="G45" s="6"/>
      <c r="H45" s="6" t="s">
        <v>18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8.75">
      <c r="A46" s="7">
        <v>101239174</v>
      </c>
      <c r="B46" s="8">
        <v>45903</v>
      </c>
      <c r="C46" s="9">
        <v>45658.46527777778</v>
      </c>
      <c r="D46" s="7">
        <v>116782</v>
      </c>
      <c r="E46" s="10">
        <v>210</v>
      </c>
      <c r="F46" s="6"/>
      <c r="G46" s="6"/>
      <c r="H46" s="6" t="s">
        <v>18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8.75">
      <c r="A47" s="7">
        <v>101239175</v>
      </c>
      <c r="B47" s="8">
        <v>45903</v>
      </c>
      <c r="C47" s="9">
        <v>45658.47222222222</v>
      </c>
      <c r="D47" s="7">
        <v>120479</v>
      </c>
      <c r="E47" s="10">
        <v>1002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8.75">
      <c r="A48" s="7">
        <v>101239176</v>
      </c>
      <c r="B48" s="8">
        <v>45903</v>
      </c>
      <c r="C48" s="9">
        <v>45658.479166666664</v>
      </c>
      <c r="D48" s="7">
        <v>102328</v>
      </c>
      <c r="E48" s="10">
        <v>87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8.75">
      <c r="A49" s="7">
        <v>101239177</v>
      </c>
      <c r="B49" s="8">
        <v>45903</v>
      </c>
      <c r="C49" s="9">
        <v>45658.48611111111</v>
      </c>
      <c r="D49" s="7">
        <v>102504</v>
      </c>
      <c r="E49" s="10">
        <v>246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8.75">
      <c r="A50" s="7">
        <v>101241563</v>
      </c>
      <c r="B50" s="8">
        <v>45903</v>
      </c>
      <c r="C50" s="9">
        <v>45658.48611111111</v>
      </c>
      <c r="D50" s="7">
        <v>117947</v>
      </c>
      <c r="E50" s="10">
        <v>108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8.75">
      <c r="A51" s="7">
        <v>101239178</v>
      </c>
      <c r="B51" s="8">
        <v>45903</v>
      </c>
      <c r="C51" s="9">
        <v>45658.493055555555</v>
      </c>
      <c r="D51" s="7">
        <v>102575</v>
      </c>
      <c r="E51" s="10">
        <v>241</v>
      </c>
      <c r="F51" s="6"/>
      <c r="G51" s="6"/>
      <c r="H51" s="6" t="s">
        <v>18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8.75">
      <c r="A52" s="7">
        <v>101239179</v>
      </c>
      <c r="B52" s="8">
        <v>45903</v>
      </c>
      <c r="C52" s="9">
        <v>45658.5</v>
      </c>
      <c r="D52" s="7">
        <v>113623</v>
      </c>
      <c r="E52" s="10">
        <v>347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8.75">
      <c r="A53" s="7">
        <v>101239182</v>
      </c>
      <c r="B53" s="8">
        <v>45903</v>
      </c>
      <c r="C53" s="9">
        <v>45658.51388888889</v>
      </c>
      <c r="D53" s="7">
        <v>102456</v>
      </c>
      <c r="E53" s="10">
        <v>238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8.75">
      <c r="A54" s="7">
        <v>101242909</v>
      </c>
      <c r="B54" s="8">
        <v>45903</v>
      </c>
      <c r="C54" s="9">
        <v>45658.51388888889</v>
      </c>
      <c r="D54" s="7">
        <v>102528</v>
      </c>
      <c r="E54" s="10">
        <v>398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8.75">
      <c r="A55" s="7">
        <v>101239183</v>
      </c>
      <c r="B55" s="8">
        <v>45903</v>
      </c>
      <c r="C55" s="9">
        <v>45658.520833333336</v>
      </c>
      <c r="D55" s="7">
        <v>102394</v>
      </c>
      <c r="E55" s="10">
        <v>298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8.75">
      <c r="A56" s="7">
        <v>101239184</v>
      </c>
      <c r="B56" s="8">
        <v>45903</v>
      </c>
      <c r="C56" s="9">
        <v>45658.59027777778</v>
      </c>
      <c r="D56" s="7">
        <v>119622</v>
      </c>
      <c r="E56" s="10">
        <v>179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8.75">
      <c r="A57" s="11">
        <v>115698785</v>
      </c>
      <c r="B57" s="8">
        <v>45903</v>
      </c>
      <c r="C57" s="9">
        <v>45658.583333333336</v>
      </c>
      <c r="D57" s="11">
        <v>112908</v>
      </c>
      <c r="E57" s="10">
        <v>47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8.75">
      <c r="A58" s="7">
        <v>101239497</v>
      </c>
      <c r="B58" s="8">
        <v>45904</v>
      </c>
      <c r="C58" s="9">
        <v>45658.36111111111</v>
      </c>
      <c r="D58" s="7">
        <v>102541</v>
      </c>
      <c r="E58" s="10">
        <v>209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8.75">
      <c r="A59" s="7">
        <v>101239513</v>
      </c>
      <c r="B59" s="8">
        <v>45904</v>
      </c>
      <c r="C59" s="9">
        <v>45658.375</v>
      </c>
      <c r="D59" s="7">
        <v>111412</v>
      </c>
      <c r="E59" s="10">
        <v>436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8.75">
      <c r="A60" s="7">
        <v>101239504</v>
      </c>
      <c r="B60" s="8">
        <v>45904</v>
      </c>
      <c r="C60" s="9">
        <v>45658.40972222222</v>
      </c>
      <c r="D60" s="7">
        <v>102258</v>
      </c>
      <c r="E60" s="10">
        <v>280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8.75">
      <c r="A61" s="7">
        <v>101239505</v>
      </c>
      <c r="B61" s="8">
        <v>45904</v>
      </c>
      <c r="C61" s="9">
        <v>45658.416666666664</v>
      </c>
      <c r="D61" s="7">
        <v>102317</v>
      </c>
      <c r="E61" s="10">
        <v>172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8.75">
      <c r="A62" s="7">
        <v>101239506</v>
      </c>
      <c r="B62" s="8">
        <v>45904</v>
      </c>
      <c r="C62" s="9">
        <v>45658.42361111111</v>
      </c>
      <c r="D62" s="7">
        <v>102445</v>
      </c>
      <c r="E62" s="10">
        <v>115</v>
      </c>
      <c r="F62" s="6" t="s">
        <v>8</v>
      </c>
      <c r="G62" s="6"/>
      <c r="H62" s="6" t="s">
        <v>12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8.75">
      <c r="A63" s="7">
        <v>101240917</v>
      </c>
      <c r="B63" s="8">
        <v>45904</v>
      </c>
      <c r="C63" s="9">
        <v>45658.4375</v>
      </c>
      <c r="D63" s="7">
        <v>113977</v>
      </c>
      <c r="E63" s="10">
        <v>85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8.75">
      <c r="A64" s="7">
        <v>101259054</v>
      </c>
      <c r="B64" s="8">
        <v>45904</v>
      </c>
      <c r="C64" s="9">
        <v>45658.444444444445</v>
      </c>
      <c r="D64" s="7">
        <v>117983</v>
      </c>
      <c r="E64" s="10">
        <v>457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8.75">
      <c r="A65" s="7">
        <v>101239509</v>
      </c>
      <c r="B65" s="8">
        <v>45904</v>
      </c>
      <c r="C65" s="9">
        <v>45658.45138888889</v>
      </c>
      <c r="D65" s="7">
        <v>102287</v>
      </c>
      <c r="E65" s="10">
        <v>152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8.75">
      <c r="A66" s="7">
        <v>101239517</v>
      </c>
      <c r="B66" s="8">
        <v>45904</v>
      </c>
      <c r="C66" s="9">
        <v>45658.458333333336</v>
      </c>
      <c r="D66" s="7">
        <v>102279</v>
      </c>
      <c r="E66" s="10">
        <v>109</v>
      </c>
      <c r="F66" s="6" t="s">
        <v>8</v>
      </c>
      <c r="G66" s="6"/>
      <c r="H66" s="6" t="s">
        <v>12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8.75">
      <c r="A67" s="7">
        <v>101243145</v>
      </c>
      <c r="B67" s="8">
        <v>45904</v>
      </c>
      <c r="C67" s="9">
        <v>45658.458333333336</v>
      </c>
      <c r="D67" s="7">
        <v>102717</v>
      </c>
      <c r="E67" s="10">
        <v>131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8.75">
      <c r="A68" s="7">
        <v>101239512</v>
      </c>
      <c r="B68" s="8">
        <v>45904</v>
      </c>
      <c r="C68" s="9">
        <v>45658.47222222222</v>
      </c>
      <c r="D68" s="7">
        <v>109423</v>
      </c>
      <c r="E68" s="10">
        <v>146</v>
      </c>
      <c r="F68" s="6" t="s">
        <v>8</v>
      </c>
      <c r="G68" s="6"/>
      <c r="H68" s="6" t="s">
        <v>12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8.75">
      <c r="A69" s="7">
        <v>101239516</v>
      </c>
      <c r="B69" s="8">
        <v>45904</v>
      </c>
      <c r="C69" s="9">
        <v>45658.5</v>
      </c>
      <c r="D69" s="7">
        <v>102424</v>
      </c>
      <c r="E69" s="10">
        <v>146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8.75">
      <c r="A70" s="7">
        <v>101239519</v>
      </c>
      <c r="B70" s="8">
        <v>45904</v>
      </c>
      <c r="C70" s="9">
        <v>45658.583333333336</v>
      </c>
      <c r="D70" s="7">
        <v>102390</v>
      </c>
      <c r="E70" s="10">
        <v>82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8.75">
      <c r="A71" s="7">
        <v>101239500</v>
      </c>
      <c r="B71" s="8">
        <v>45904</v>
      </c>
      <c r="C71" s="9">
        <v>45658.381944444445</v>
      </c>
      <c r="D71" s="7">
        <v>111935</v>
      </c>
      <c r="E71" s="10">
        <v>103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8.75">
      <c r="A72" s="7">
        <v>101239503</v>
      </c>
      <c r="B72" s="8">
        <v>45904</v>
      </c>
      <c r="C72" s="9">
        <v>45658.40277777778</v>
      </c>
      <c r="D72" s="7">
        <v>102254</v>
      </c>
      <c r="E72" s="10">
        <v>163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8.75">
      <c r="A73" s="7">
        <v>101239814</v>
      </c>
      <c r="B73" s="8">
        <v>45905</v>
      </c>
      <c r="C73" s="9">
        <v>45658.36111111111</v>
      </c>
      <c r="D73" s="7">
        <v>117815</v>
      </c>
      <c r="E73" s="10">
        <v>390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8.75">
      <c r="A74" s="7">
        <v>101239818</v>
      </c>
      <c r="B74" s="8">
        <v>45905</v>
      </c>
      <c r="C74" s="9">
        <v>45658.38888888889</v>
      </c>
      <c r="D74" s="7">
        <v>113462</v>
      </c>
      <c r="E74" s="10">
        <v>107</v>
      </c>
      <c r="F74" s="6" t="s">
        <v>8</v>
      </c>
      <c r="G74" s="6" t="s">
        <v>8</v>
      </c>
      <c r="H74" s="6" t="s">
        <v>19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8.75">
      <c r="A75" s="7">
        <v>101239819</v>
      </c>
      <c r="B75" s="8">
        <v>45905</v>
      </c>
      <c r="C75" s="9">
        <v>45658.395833333336</v>
      </c>
      <c r="D75" s="7">
        <v>102202</v>
      </c>
      <c r="E75" s="10">
        <v>78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8.75">
      <c r="A76" s="7">
        <v>101239820</v>
      </c>
      <c r="B76" s="8">
        <v>45905</v>
      </c>
      <c r="C76" s="9">
        <v>45658.40277777778</v>
      </c>
      <c r="D76" s="7">
        <v>102228</v>
      </c>
      <c r="E76" s="10">
        <v>276</v>
      </c>
      <c r="F76" s="6" t="s">
        <v>8</v>
      </c>
      <c r="G76" s="6"/>
      <c r="H76" s="6" t="s">
        <v>20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8.75">
      <c r="A77" s="7">
        <v>101239825</v>
      </c>
      <c r="B77" s="8">
        <v>45905</v>
      </c>
      <c r="C77" s="9">
        <v>45658.4375</v>
      </c>
      <c r="D77" s="7">
        <v>102515</v>
      </c>
      <c r="E77" s="10">
        <v>141</v>
      </c>
      <c r="F77" s="6" t="s">
        <v>8</v>
      </c>
      <c r="G77" s="6"/>
      <c r="H77" s="6" t="s">
        <v>12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8.75">
      <c r="A78" s="7">
        <v>101239826</v>
      </c>
      <c r="B78" s="8">
        <v>45905</v>
      </c>
      <c r="C78" s="9">
        <v>45658.444444444445</v>
      </c>
      <c r="D78" s="7">
        <v>102197</v>
      </c>
      <c r="E78" s="10">
        <v>114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8.75">
      <c r="A79" s="7">
        <v>101239828</v>
      </c>
      <c r="B79" s="8">
        <v>45905</v>
      </c>
      <c r="C79" s="9">
        <v>45658.458333333336</v>
      </c>
      <c r="D79" s="7">
        <v>118507</v>
      </c>
      <c r="E79" s="10">
        <v>306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8.75">
      <c r="A80" s="7">
        <v>101239829</v>
      </c>
      <c r="B80" s="8">
        <v>45905</v>
      </c>
      <c r="C80" s="9">
        <v>45658.46527777778</v>
      </c>
      <c r="D80" s="7">
        <v>102587</v>
      </c>
      <c r="E80" s="10">
        <v>82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8.75">
      <c r="A81" s="7">
        <v>101239830</v>
      </c>
      <c r="B81" s="8">
        <v>45905</v>
      </c>
      <c r="C81" s="9">
        <v>45658.47222222222</v>
      </c>
      <c r="D81" s="7">
        <v>102530</v>
      </c>
      <c r="E81" s="10">
        <v>718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8.75">
      <c r="A82" s="7">
        <v>101239821</v>
      </c>
      <c r="B82" s="8">
        <v>45905</v>
      </c>
      <c r="C82" s="9">
        <v>45658.40972222222</v>
      </c>
      <c r="D82" s="7">
        <v>102518</v>
      </c>
      <c r="E82" s="10">
        <v>158</v>
      </c>
      <c r="F82" s="6"/>
      <c r="G82" s="6" t="s">
        <v>8</v>
      </c>
      <c r="H82" s="6" t="s">
        <v>21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8.75">
      <c r="A83" s="7"/>
      <c r="B83" s="8"/>
      <c r="C83" s="9"/>
      <c r="D83" s="7"/>
      <c r="E83" s="1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8.75">
      <c r="A84" s="7"/>
      <c r="B84" s="8"/>
      <c r="C84" s="9"/>
      <c r="D84" s="7"/>
      <c r="E84" s="1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8.75">
      <c r="A85" s="7"/>
      <c r="B85" s="8"/>
      <c r="C85" s="9"/>
      <c r="D85" s="7"/>
      <c r="E85" s="1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8.75">
      <c r="A86" s="7"/>
      <c r="B86" s="8"/>
      <c r="C86" s="9"/>
      <c r="D86" s="7"/>
      <c r="E86" s="1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8.75">
      <c r="A87" s="7"/>
      <c r="B87" s="8"/>
      <c r="C87" s="9"/>
      <c r="D87" s="7"/>
      <c r="E87" s="1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8.75">
      <c r="A88" s="7"/>
      <c r="B88" s="8"/>
      <c r="C88" s="9"/>
      <c r="D88" s="7"/>
      <c r="E88" s="1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8.75">
      <c r="A89" s="7"/>
      <c r="B89" s="8"/>
      <c r="C89" s="9"/>
      <c r="D89" s="7"/>
      <c r="E89" s="1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8.75">
      <c r="A90" s="7"/>
      <c r="B90" s="8"/>
      <c r="C90" s="9"/>
      <c r="D90" s="7"/>
      <c r="E90" s="1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8.75">
      <c r="A91" s="7"/>
      <c r="B91" s="8"/>
      <c r="C91" s="9"/>
      <c r="D91" s="7"/>
      <c r="E91" s="1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8.75">
      <c r="A92" s="7"/>
      <c r="B92" s="8"/>
      <c r="C92" s="9"/>
      <c r="D92" s="7"/>
      <c r="E92" s="1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8.75">
      <c r="A93" s="7"/>
      <c r="B93" s="8"/>
      <c r="C93" s="9"/>
      <c r="D93" s="7"/>
      <c r="E93" s="1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8.75">
      <c r="A94" s="7"/>
      <c r="B94" s="8"/>
      <c r="C94" s="9"/>
      <c r="D94" s="7"/>
      <c r="E94" s="1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8.75">
      <c r="A95" s="7"/>
      <c r="B95" s="8"/>
      <c r="C95" s="9"/>
      <c r="D95" s="7"/>
      <c r="E95" s="1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8.75">
      <c r="A96" s="7"/>
      <c r="B96" s="8"/>
      <c r="C96" s="9"/>
      <c r="D96" s="7"/>
      <c r="E96" s="1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8.75">
      <c r="A97" s="7"/>
      <c r="B97" s="8"/>
      <c r="C97" s="9"/>
      <c r="D97" s="7"/>
      <c r="E97" s="1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8.75">
      <c r="A98" s="7"/>
      <c r="B98" s="13"/>
      <c r="C98" s="8"/>
      <c r="D98" s="8"/>
      <c r="E98" s="1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8.75">
      <c r="A99" s="7"/>
      <c r="B99" s="13"/>
      <c r="C99" s="8"/>
      <c r="D99" s="8"/>
      <c r="E99" s="1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8.75">
      <c r="A100" s="7"/>
      <c r="B100" s="13"/>
      <c r="C100" s="8"/>
      <c r="D100" s="8"/>
      <c r="E100" s="1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8.75">
      <c r="A101" s="7"/>
      <c r="B101" s="13"/>
      <c r="C101" s="8"/>
      <c r="D101" s="8"/>
      <c r="E101" s="1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8.75">
      <c r="A102" s="7"/>
      <c r="B102" s="13"/>
      <c r="C102" s="8"/>
      <c r="D102" s="8"/>
      <c r="E102" s="1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8.75">
      <c r="A103" s="7"/>
      <c r="B103" s="13"/>
      <c r="C103" s="8"/>
      <c r="D103" s="8"/>
      <c r="E103" s="1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8.75">
      <c r="A104" s="7"/>
      <c r="B104" s="13"/>
      <c r="C104" s="8"/>
      <c r="D104" s="8"/>
      <c r="E104" s="1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8.75">
      <c r="A105" s="7"/>
      <c r="B105" s="13"/>
      <c r="C105" s="8"/>
      <c r="D105" s="8"/>
      <c r="E105" s="1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8.75">
      <c r="A106" s="7"/>
      <c r="B106" s="13"/>
      <c r="C106" s="8"/>
      <c r="D106" s="8"/>
      <c r="E106" s="1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8.75">
      <c r="A107" s="7"/>
      <c r="B107" s="13"/>
      <c r="C107" s="8"/>
      <c r="D107" s="8"/>
      <c r="E107" s="1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8.75">
      <c r="A108" s="7"/>
      <c r="B108" s="13"/>
      <c r="C108" s="8"/>
      <c r="D108" s="8"/>
      <c r="E108" s="1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8.75">
      <c r="A109" s="7"/>
      <c r="B109" s="13"/>
      <c r="C109" s="8"/>
      <c r="D109" s="8"/>
      <c r="E109" s="1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8.75">
      <c r="A110" s="7"/>
      <c r="B110" s="13"/>
      <c r="C110" s="8"/>
      <c r="D110" s="8"/>
      <c r="E110" s="1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8.75">
      <c r="A111" s="7"/>
      <c r="B111" s="13"/>
      <c r="C111" s="8"/>
      <c r="D111" s="8"/>
      <c r="E111" s="1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8.75">
      <c r="A112" s="7"/>
      <c r="B112" s="13"/>
      <c r="C112" s="8"/>
      <c r="D112" s="8"/>
      <c r="E112" s="1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8.75">
      <c r="A113" s="7"/>
      <c r="B113" s="13"/>
      <c r="C113" s="8"/>
      <c r="D113" s="8"/>
      <c r="E113" s="1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8.75">
      <c r="A114" s="7"/>
      <c r="B114" s="13"/>
      <c r="C114" s="8"/>
      <c r="D114" s="8"/>
      <c r="E114" s="1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8.75">
      <c r="A115" s="7"/>
      <c r="B115" s="13"/>
      <c r="C115" s="8"/>
      <c r="D115" s="8"/>
      <c r="E115" s="1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8.75">
      <c r="A116" s="7"/>
      <c r="B116" s="13"/>
      <c r="C116" s="8"/>
      <c r="D116" s="8"/>
      <c r="E116" s="1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8.75">
      <c r="A117" s="7"/>
      <c r="B117" s="13"/>
      <c r="C117" s="8"/>
      <c r="D117" s="8"/>
      <c r="E117" s="1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8.75">
      <c r="A118" s="7"/>
      <c r="B118" s="13"/>
      <c r="C118" s="8"/>
      <c r="D118" s="8"/>
      <c r="E118" s="1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8.75">
      <c r="A119" s="7"/>
      <c r="B119" s="13"/>
      <c r="C119" s="8"/>
      <c r="D119" s="8"/>
      <c r="E119" s="1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8.75">
      <c r="A120" s="7"/>
      <c r="B120" s="13"/>
      <c r="C120" s="8"/>
      <c r="D120" s="8"/>
      <c r="E120" s="1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8.75">
      <c r="A121" s="7"/>
      <c r="B121" s="13"/>
      <c r="C121" s="8"/>
      <c r="D121" s="8"/>
      <c r="E121" s="1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8.75">
      <c r="A122" s="7"/>
      <c r="B122" s="13"/>
      <c r="C122" s="8"/>
      <c r="D122" s="8"/>
      <c r="E122" s="1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8.75">
      <c r="A123" s="7"/>
      <c r="B123" s="13"/>
      <c r="C123" s="8"/>
      <c r="D123" s="8"/>
      <c r="E123" s="1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8.75">
      <c r="A124" s="7"/>
      <c r="B124" s="13"/>
      <c r="C124" s="8"/>
      <c r="D124" s="8"/>
      <c r="E124" s="1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8.75">
      <c r="A125" s="7"/>
      <c r="B125" s="13"/>
      <c r="C125" s="8"/>
      <c r="D125" s="8"/>
      <c r="E125" s="1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8.75">
      <c r="A126" s="7"/>
      <c r="B126" s="13"/>
      <c r="C126" s="8"/>
      <c r="D126" s="8"/>
      <c r="E126" s="1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8.75">
      <c r="A127" s="7"/>
      <c r="B127" s="13"/>
      <c r="C127" s="8"/>
      <c r="D127" s="8"/>
      <c r="E127" s="1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8.75">
      <c r="A128" s="7"/>
      <c r="B128" s="13"/>
      <c r="C128" s="8"/>
      <c r="D128" s="8"/>
      <c r="E128" s="1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8.75">
      <c r="A129" s="7"/>
      <c r="B129" s="13"/>
      <c r="C129" s="8"/>
      <c r="D129" s="8"/>
      <c r="E129" s="1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8.75">
      <c r="A130" s="7"/>
      <c r="B130" s="13"/>
      <c r="C130" s="8"/>
      <c r="D130" s="8"/>
      <c r="E130" s="1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8.75">
      <c r="A131" s="7"/>
      <c r="B131" s="13"/>
      <c r="C131" s="8"/>
      <c r="D131" s="8"/>
      <c r="E131" s="1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8.75">
      <c r="A132" s="7"/>
      <c r="B132" s="13"/>
      <c r="C132" s="8"/>
      <c r="D132" s="8"/>
      <c r="E132" s="1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8.75">
      <c r="A133" s="7"/>
      <c r="B133" s="13"/>
      <c r="C133" s="8"/>
      <c r="D133" s="8"/>
      <c r="E133" s="1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8.75">
      <c r="A134" s="7"/>
      <c r="B134" s="13"/>
      <c r="C134" s="8"/>
      <c r="D134" s="8"/>
      <c r="E134" s="1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8.75">
      <c r="A135" s="7"/>
      <c r="B135" s="13"/>
      <c r="C135" s="8"/>
      <c r="D135" s="8"/>
      <c r="E135" s="1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8.75">
      <c r="A136" s="7"/>
      <c r="B136" s="13"/>
      <c r="C136" s="8"/>
      <c r="D136" s="8"/>
      <c r="E136" s="1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8.75">
      <c r="A137" s="7"/>
      <c r="B137" s="13"/>
      <c r="C137" s="8"/>
      <c r="D137" s="8"/>
      <c r="E137" s="1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8.75">
      <c r="A138" s="7"/>
      <c r="B138" s="13"/>
      <c r="C138" s="8"/>
      <c r="D138" s="8"/>
      <c r="E138" s="1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8.75">
      <c r="A139" s="7"/>
      <c r="B139" s="13"/>
      <c r="C139" s="8"/>
      <c r="D139" s="8"/>
      <c r="E139" s="1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8.75">
      <c r="A140" s="7"/>
      <c r="B140" s="13"/>
      <c r="C140" s="8"/>
      <c r="D140" s="8"/>
      <c r="E140" s="1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8.75">
      <c r="A141" s="7"/>
      <c r="B141" s="13"/>
      <c r="C141" s="8"/>
      <c r="D141" s="8"/>
      <c r="E141" s="1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8.75">
      <c r="A142" s="7"/>
      <c r="B142" s="13"/>
      <c r="C142" s="8"/>
      <c r="D142" s="8"/>
      <c r="E142" s="1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8.75">
      <c r="A143" s="7"/>
      <c r="B143" s="13"/>
      <c r="C143" s="8"/>
      <c r="D143" s="8"/>
      <c r="E143" s="1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8.75">
      <c r="A144" s="7"/>
      <c r="B144" s="13"/>
      <c r="C144" s="8"/>
      <c r="D144" s="8"/>
      <c r="E144" s="1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8.75">
      <c r="A145" s="7"/>
      <c r="B145" s="13"/>
      <c r="C145" s="8"/>
      <c r="D145" s="8"/>
      <c r="E145" s="1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8.75">
      <c r="A146" s="7"/>
      <c r="B146" s="13"/>
      <c r="C146" s="8"/>
      <c r="D146" s="8"/>
      <c r="E146" s="1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8.75">
      <c r="A147" s="7"/>
      <c r="B147" s="13"/>
      <c r="C147" s="8"/>
      <c r="D147" s="8"/>
      <c r="E147" s="1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8.75">
      <c r="A148" s="7"/>
      <c r="B148" s="13"/>
      <c r="C148" s="8"/>
      <c r="D148" s="8"/>
      <c r="E148" s="1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8.75">
      <c r="A149" s="7"/>
      <c r="B149" s="13"/>
      <c r="C149" s="8"/>
      <c r="D149" s="8"/>
      <c r="E149" s="1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8.75">
      <c r="A150" s="7"/>
      <c r="B150" s="13"/>
      <c r="C150" s="8"/>
      <c r="D150" s="8"/>
      <c r="E150" s="1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8.75">
      <c r="A151" s="7"/>
      <c r="B151" s="13"/>
      <c r="C151" s="8"/>
      <c r="D151" s="8"/>
      <c r="E151" s="1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8.75">
      <c r="A152" s="7"/>
      <c r="B152" s="13"/>
      <c r="C152" s="8"/>
      <c r="D152" s="8"/>
      <c r="E152" s="1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8.75">
      <c r="A153" s="7"/>
      <c r="B153" s="13"/>
      <c r="C153" s="8"/>
      <c r="D153" s="8"/>
      <c r="E153" s="1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8.75">
      <c r="A154" s="7"/>
      <c r="B154" s="13"/>
      <c r="C154" s="8"/>
      <c r="D154" s="8"/>
      <c r="E154" s="1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8.75">
      <c r="A155" s="7"/>
      <c r="B155" s="13"/>
      <c r="C155" s="8"/>
      <c r="D155" s="8"/>
      <c r="E155" s="1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8.75">
      <c r="A156" s="7"/>
      <c r="B156" s="13"/>
      <c r="C156" s="8"/>
      <c r="D156" s="8"/>
      <c r="E156" s="1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8.75">
      <c r="A157" s="7"/>
      <c r="B157" s="13"/>
      <c r="C157" s="8"/>
      <c r="D157" s="8"/>
      <c r="E157" s="1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8.75">
      <c r="A158" s="7"/>
      <c r="B158" s="13"/>
      <c r="C158" s="8"/>
      <c r="D158" s="8"/>
      <c r="E158" s="1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8.75">
      <c r="A159" s="7"/>
      <c r="B159" s="13"/>
      <c r="C159" s="8"/>
      <c r="D159" s="8"/>
      <c r="E159" s="1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8.75">
      <c r="A160" s="7"/>
      <c r="B160" s="13"/>
      <c r="C160" s="8"/>
      <c r="D160" s="8"/>
      <c r="E160" s="1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8.75">
      <c r="A161" s="7"/>
      <c r="B161" s="13"/>
      <c r="C161" s="8"/>
      <c r="D161" s="8"/>
      <c r="E161" s="1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8.75">
      <c r="A162" s="7"/>
      <c r="B162" s="13"/>
      <c r="C162" s="8"/>
      <c r="D162" s="8"/>
      <c r="E162" s="1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8.75">
      <c r="A163" s="7"/>
      <c r="B163" s="13"/>
      <c r="C163" s="8"/>
      <c r="D163" s="8"/>
      <c r="E163" s="1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8.75">
      <c r="A164" s="7"/>
      <c r="B164" s="13"/>
      <c r="C164" s="8"/>
      <c r="D164" s="8"/>
      <c r="E164" s="1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8.75">
      <c r="A165" s="7"/>
      <c r="B165" s="13"/>
      <c r="C165" s="8"/>
      <c r="D165" s="8"/>
      <c r="E165" s="1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8.75">
      <c r="A166" s="7"/>
      <c r="B166" s="13"/>
      <c r="C166" s="8"/>
      <c r="D166" s="8"/>
      <c r="E166" s="1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8.75">
      <c r="A167" s="7"/>
      <c r="B167" s="13"/>
      <c r="C167" s="8"/>
      <c r="D167" s="8"/>
      <c r="E167" s="1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8.75">
      <c r="A168" s="7"/>
      <c r="B168" s="13"/>
      <c r="C168" s="8"/>
      <c r="D168" s="8"/>
      <c r="E168" s="1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8.75">
      <c r="A169" s="7"/>
      <c r="B169" s="13"/>
      <c r="C169" s="8"/>
      <c r="D169" s="8"/>
      <c r="E169" s="1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8.75">
      <c r="A170" s="7"/>
      <c r="B170" s="13"/>
      <c r="C170" s="8"/>
      <c r="D170" s="8"/>
      <c r="E170" s="1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8.75">
      <c r="A171" s="7"/>
      <c r="B171" s="13"/>
      <c r="C171" s="8"/>
      <c r="D171" s="8"/>
      <c r="E171" s="1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8.75">
      <c r="A172" s="7"/>
      <c r="B172" s="13"/>
      <c r="C172" s="8"/>
      <c r="D172" s="8"/>
      <c r="E172" s="1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8.75">
      <c r="A173" s="7"/>
      <c r="B173" s="13"/>
      <c r="C173" s="8"/>
      <c r="D173" s="8"/>
      <c r="E173" s="1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8.75">
      <c r="A174" s="7"/>
      <c r="B174" s="13"/>
      <c r="C174" s="8"/>
      <c r="D174" s="8"/>
      <c r="E174" s="1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8.75">
      <c r="A175" s="7"/>
      <c r="B175" s="13"/>
      <c r="C175" s="8"/>
      <c r="D175" s="8"/>
      <c r="E175" s="1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8.75">
      <c r="A176" s="7"/>
      <c r="B176" s="13"/>
      <c r="C176" s="8"/>
      <c r="D176" s="8"/>
      <c r="E176" s="1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8.75">
      <c r="A177" s="7"/>
      <c r="B177" s="13"/>
      <c r="C177" s="8"/>
      <c r="D177" s="8"/>
      <c r="E177" s="1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8.75">
      <c r="A178" s="7"/>
      <c r="B178" s="13"/>
      <c r="C178" s="8"/>
      <c r="D178" s="8"/>
      <c r="E178" s="1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8.75">
      <c r="A179" s="7"/>
      <c r="B179" s="13"/>
      <c r="C179" s="8"/>
      <c r="D179" s="8"/>
      <c r="E179" s="1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8.75">
      <c r="A180" s="7"/>
      <c r="B180" s="13"/>
      <c r="C180" s="8"/>
      <c r="D180" s="8"/>
      <c r="E180" s="1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8.75">
      <c r="A181" s="7"/>
      <c r="B181" s="13"/>
      <c r="C181" s="8"/>
      <c r="D181" s="8"/>
      <c r="E181" s="1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8.75">
      <c r="A182" s="7"/>
      <c r="B182" s="13"/>
      <c r="C182" s="8"/>
      <c r="D182" s="8"/>
      <c r="E182" s="1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8.75">
      <c r="A183" s="7"/>
      <c r="B183" s="13"/>
      <c r="C183" s="8"/>
      <c r="D183" s="8"/>
      <c r="E183" s="1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8.75">
      <c r="A184" s="7"/>
      <c r="B184" s="13"/>
      <c r="C184" s="8"/>
      <c r="D184" s="8"/>
      <c r="E184" s="1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8.75">
      <c r="A185" s="7"/>
      <c r="B185" s="13"/>
      <c r="C185" s="8"/>
      <c r="D185" s="8"/>
      <c r="E185" s="1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8.75">
      <c r="A186" s="7"/>
      <c r="B186" s="13"/>
      <c r="C186" s="8"/>
      <c r="D186" s="8"/>
      <c r="E186" s="1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8.75">
      <c r="A187" s="7"/>
      <c r="B187" s="13"/>
      <c r="C187" s="8"/>
      <c r="D187" s="8"/>
      <c r="E187" s="1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8.75">
      <c r="A188" s="7"/>
      <c r="B188" s="13"/>
      <c r="C188" s="8"/>
      <c r="D188" s="8"/>
      <c r="E188" s="1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8.75">
      <c r="A189" s="7"/>
      <c r="B189" s="13"/>
      <c r="C189" s="8"/>
      <c r="D189" s="8"/>
      <c r="E189" s="1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8.75">
      <c r="A190" s="7"/>
      <c r="B190" s="13"/>
      <c r="C190" s="8"/>
      <c r="D190" s="8"/>
      <c r="E190" s="1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8.75">
      <c r="A191" s="7"/>
      <c r="B191" s="13"/>
      <c r="C191" s="8"/>
      <c r="D191" s="8"/>
      <c r="E191" s="1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8.75">
      <c r="A192" s="7"/>
      <c r="B192" s="13"/>
      <c r="C192" s="8"/>
      <c r="D192" s="8"/>
      <c r="E192" s="1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8.75">
      <c r="A193" s="7"/>
      <c r="B193" s="13"/>
      <c r="C193" s="8"/>
      <c r="D193" s="8"/>
      <c r="E193" s="1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8.75">
      <c r="A194" s="7"/>
      <c r="B194" s="13"/>
      <c r="C194" s="8"/>
      <c r="D194" s="8"/>
      <c r="E194" s="1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8.75">
      <c r="A195" s="7"/>
      <c r="B195" s="13"/>
      <c r="C195" s="8"/>
      <c r="D195" s="8"/>
      <c r="E195" s="1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8.75">
      <c r="A196" s="7"/>
      <c r="B196" s="13"/>
      <c r="C196" s="8"/>
      <c r="D196" s="8"/>
      <c r="E196" s="1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8.75">
      <c r="A197" s="7"/>
      <c r="B197" s="13"/>
      <c r="C197" s="8"/>
      <c r="D197" s="8"/>
      <c r="E197" s="1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8.75">
      <c r="A198" s="7"/>
      <c r="B198" s="13"/>
      <c r="C198" s="8"/>
      <c r="D198" s="8"/>
      <c r="E198" s="1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8.75">
      <c r="A199" s="7"/>
      <c r="B199" s="13"/>
      <c r="C199" s="8"/>
      <c r="D199" s="8"/>
      <c r="E199" s="1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8.75">
      <c r="A200" s="7"/>
      <c r="B200" s="13"/>
      <c r="C200" s="8"/>
      <c r="D200" s="8"/>
      <c r="E200" s="1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8.75">
      <c r="A201" s="7"/>
      <c r="B201" s="13"/>
      <c r="C201" s="8"/>
      <c r="D201" s="8"/>
      <c r="E201" s="1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8.75">
      <c r="A202" s="7"/>
      <c r="B202" s="13"/>
      <c r="C202" s="8"/>
      <c r="D202" s="8"/>
      <c r="E202" s="1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8.75">
      <c r="A203" s="7"/>
      <c r="B203" s="13"/>
      <c r="C203" s="8"/>
      <c r="D203" s="8"/>
      <c r="E203" s="1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8.75">
      <c r="A204" s="7"/>
      <c r="B204" s="13"/>
      <c r="C204" s="8"/>
      <c r="D204" s="8"/>
      <c r="E204" s="1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8.75">
      <c r="A205" s="7"/>
      <c r="B205" s="13"/>
      <c r="C205" s="8"/>
      <c r="D205" s="8"/>
      <c r="E205" s="1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8.75">
      <c r="A206" s="7"/>
      <c r="B206" s="13"/>
      <c r="C206" s="8"/>
      <c r="D206" s="8"/>
      <c r="E206" s="1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8.75">
      <c r="A207" s="7"/>
      <c r="B207" s="13"/>
      <c r="C207" s="8"/>
      <c r="D207" s="8"/>
      <c r="E207" s="1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8.75">
      <c r="A208" s="7"/>
      <c r="B208" s="13"/>
      <c r="C208" s="8"/>
      <c r="D208" s="8"/>
      <c r="E208" s="1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8.75">
      <c r="A209" s="7"/>
      <c r="B209" s="13"/>
      <c r="C209" s="9"/>
      <c r="D209" s="7"/>
      <c r="E209" s="1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8.75">
      <c r="A210" s="7"/>
      <c r="B210" s="13"/>
      <c r="C210" s="9"/>
      <c r="D210" s="7"/>
      <c r="E210" s="1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8.75">
      <c r="A211" s="7"/>
      <c r="B211" s="13"/>
      <c r="C211" s="9"/>
      <c r="D211" s="7"/>
      <c r="E211" s="1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8.75">
      <c r="A212" s="7"/>
      <c r="B212" s="13"/>
      <c r="C212" s="9"/>
      <c r="D212" s="7"/>
      <c r="E212" s="1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8.75">
      <c r="A213" s="7"/>
      <c r="B213" s="13"/>
      <c r="C213" s="9"/>
      <c r="D213" s="7"/>
      <c r="E213" s="1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8.75">
      <c r="A214" s="7"/>
      <c r="B214" s="13"/>
      <c r="C214" s="9"/>
      <c r="D214" s="7"/>
      <c r="E214" s="1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8.75">
      <c r="A215" s="7"/>
      <c r="B215" s="13"/>
      <c r="C215" s="9"/>
      <c r="D215" s="7"/>
      <c r="E215" s="1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8.75">
      <c r="A216" s="7"/>
      <c r="B216" s="13"/>
      <c r="C216" s="9"/>
      <c r="D216" s="7"/>
      <c r="E216" s="1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8.75">
      <c r="A217" s="7"/>
      <c r="B217" s="13"/>
      <c r="C217" s="9"/>
      <c r="D217" s="7"/>
      <c r="E217" s="1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8.75">
      <c r="A218" s="7"/>
      <c r="B218" s="13"/>
      <c r="C218" s="9"/>
      <c r="D218" s="7"/>
      <c r="E218" s="1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8.75">
      <c r="A219" s="7"/>
      <c r="B219" s="13"/>
      <c r="C219" s="9"/>
      <c r="D219" s="7"/>
      <c r="E219" s="1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8.75">
      <c r="A220" s="7"/>
      <c r="B220" s="13"/>
      <c r="C220" s="9"/>
      <c r="D220" s="7"/>
      <c r="E220" s="1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8.75">
      <c r="A221" s="7"/>
      <c r="B221" s="13"/>
      <c r="C221" s="15"/>
      <c r="D221" s="16"/>
      <c r="E221" s="1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8.75">
      <c r="A222" s="7"/>
      <c r="B222" s="13"/>
      <c r="C222" s="9"/>
      <c r="D222" s="7"/>
      <c r="E222" s="1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8.75">
      <c r="A223" s="7"/>
      <c r="B223" s="13"/>
      <c r="C223" s="9"/>
      <c r="D223" s="7"/>
      <c r="E223" s="1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8.75">
      <c r="A224" s="7"/>
      <c r="B224" s="13"/>
      <c r="C224" s="9"/>
      <c r="D224" s="7"/>
      <c r="E224" s="1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8.75">
      <c r="A225" s="7"/>
      <c r="B225" s="13"/>
      <c r="C225" s="9"/>
      <c r="D225" s="7"/>
      <c r="E225" s="1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8.75">
      <c r="A226" s="17"/>
      <c r="B226" s="18"/>
      <c r="C226" s="9"/>
      <c r="D226" s="7"/>
      <c r="E226" s="1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8.75">
      <c r="A227" s="7"/>
      <c r="B227" s="13"/>
      <c r="C227" s="9"/>
      <c r="D227" s="7"/>
      <c r="E227" s="14"/>
      <c r="F227" s="6"/>
      <c r="G227" s="6"/>
      <c r="H227" s="6"/>
      <c r="I227" s="6"/>
      <c r="J227" s="6"/>
      <c r="K227" s="19">
        <f>IFERROR(INDEX(#REF!,MATCH($A228,#REF!,0),COLUMNS($H$1:J$1)),"")</f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8.75">
      <c r="A228" s="7"/>
      <c r="B228" s="13"/>
      <c r="C228" s="9"/>
      <c r="D228" s="7"/>
      <c r="E228" s="14"/>
      <c r="F228" s="6"/>
      <c r="G228" s="6"/>
      <c r="H228" s="6"/>
      <c r="I228" s="19">
        <f>IFERROR(INDEX(#REF!,MATCH($A228,#REF!,0),COLUMNS($H$1:I$1)),"")</f>
      </c>
      <c r="J228" s="19">
        <f>IFERROR(INDEX(#REF!,MATCH($A228,#REF!,0),COLUMNS($H$1:J$1)),"")</f>
      </c>
      <c r="K228" s="19">
        <f>IFERROR(INDEX(#REF!,MATCH($A229,#REF!,0),COLUMNS($H$1:J$1)),"")</f>
      </c>
      <c r="L228" s="19">
        <f>IFERROR(INDEX(#REF!,MATCH($A228,#REF!,0),COLUMNS($H$1:L$1)),"")</f>
      </c>
      <c r="M228" s="19">
        <f>IFERROR(INDEX(#REF!,MATCH($A228,#REF!,0),COLUMNS($H$1:M$1)),"")</f>
      </c>
      <c r="N228" s="19">
        <f>IFERROR(INDEX(#REF!,MATCH($A228,#REF!,0),COLUMNS($H$1:N$1)),"")</f>
      </c>
      <c r="O228" s="6"/>
      <c r="P228" s="19">
        <f>IFERROR(INDEX(#REF!,MATCH($A228,#REF!,0),COLUMNS($H$1:P$1)),"")</f>
      </c>
      <c r="Q228" s="19">
        <f>IFERROR(INDEX(#REF!,MATCH($A228,#REF!,0),COLUMNS($H$1:Q$1)),"")</f>
      </c>
      <c r="R228" s="19">
        <f>IFERROR(INDEX(#REF!,MATCH($A228,#REF!,0),COLUMNS($H$1:R$1)),"")</f>
      </c>
      <c r="S228" s="19">
        <f>IFERROR(INDEX(#REF!,MATCH($A228,#REF!,0),COLUMNS($H$1:S$1)),"")</f>
      </c>
      <c r="T228" s="19">
        <f>IFERROR(INDEX(#REF!,MATCH($A228,#REF!,0),COLUMNS($H$1:T$1)),"")</f>
      </c>
      <c r="U228" s="19">
        <f>IFERROR(INDEX(#REF!,MATCH($A228,#REF!,0),COLUMNS($H$1:U$1)),"")</f>
      </c>
      <c r="V228" s="19">
        <f>IFERROR(INDEX(#REF!,MATCH($A228,#REF!,0),COLUMNS($H$1:V$1)),"")</f>
      </c>
      <c r="W228" s="19">
        <f>IFERROR(INDEX(#REF!,MATCH($A228,#REF!,0),COLUMNS($H$1:W$1)),"")</f>
      </c>
      <c r="X228" s="19">
        <f>IFERROR(INDEX(#REF!,MATCH($A228,#REF!,0),COLUMNS($H$1:X$1)),"")</f>
      </c>
      <c r="Y228" s="19">
        <f>IFERROR(INDEX(#REF!,MATCH($A228,#REF!,0),COLUMNS($H$1:Y$1)),"")</f>
      </c>
      <c r="Z228" s="19">
        <f>IFERROR(INDEX(#REF!,MATCH($A228,#REF!,0),COLUMNS($H$1:Z$1)),"")</f>
      </c>
    </row>
    <row x14ac:dyDescent="0.25" r="229" customHeight="1" ht="18.75">
      <c r="A229" s="7"/>
      <c r="B229" s="13"/>
      <c r="C229" s="9"/>
      <c r="D229" s="7"/>
      <c r="E229" s="14"/>
      <c r="F229" s="6"/>
      <c r="G229" s="6"/>
      <c r="H229" s="6"/>
      <c r="I229" s="19">
        <f>IFERROR(INDEX(#REF!,MATCH($A229,#REF!,0),COLUMNS($H$1:I$1)),"")</f>
      </c>
      <c r="J229" s="19">
        <f>IFERROR(INDEX(#REF!,MATCH($A229,#REF!,0),COLUMNS($H$1:J$1)),"")</f>
      </c>
      <c r="K229" s="6"/>
      <c r="L229" s="19">
        <f>IFERROR(INDEX(#REF!,MATCH($A229,#REF!,0),COLUMNS($H$1:L$1)),"")</f>
      </c>
      <c r="M229" s="19">
        <f>IFERROR(INDEX(#REF!,MATCH($A229,#REF!,0),COLUMNS($H$1:M$1)),"")</f>
      </c>
      <c r="N229" s="19">
        <f>IFERROR(INDEX(#REF!,MATCH($A229,#REF!,0),COLUMNS($H$1:N$1)),"")</f>
      </c>
      <c r="O229" s="6"/>
      <c r="P229" s="19">
        <f>IFERROR(INDEX(#REF!,MATCH($A229,#REF!,0),COLUMNS($H$1:P$1)),"")</f>
      </c>
      <c r="Q229" s="19">
        <f>IFERROR(INDEX(#REF!,MATCH($A229,#REF!,0),COLUMNS($H$1:Q$1)),"")</f>
      </c>
      <c r="R229" s="19">
        <f>IFERROR(INDEX(#REF!,MATCH($A229,#REF!,0),COLUMNS($H$1:R$1)),"")</f>
      </c>
      <c r="S229" s="19">
        <f>IFERROR(INDEX(#REF!,MATCH($A229,#REF!,0),COLUMNS($H$1:S$1)),"")</f>
      </c>
      <c r="T229" s="19">
        <f>IFERROR(INDEX(#REF!,MATCH($A229,#REF!,0),COLUMNS($H$1:T$1)),"")</f>
      </c>
      <c r="U229" s="19">
        <f>IFERROR(INDEX(#REF!,MATCH($A229,#REF!,0),COLUMNS($H$1:U$1)),"")</f>
      </c>
      <c r="V229" s="19">
        <f>IFERROR(INDEX(#REF!,MATCH($A229,#REF!,0),COLUMNS($H$1:V$1)),"")</f>
      </c>
      <c r="W229" s="19">
        <f>IFERROR(INDEX(#REF!,MATCH($A229,#REF!,0),COLUMNS($H$1:W$1)),"")</f>
      </c>
      <c r="X229" s="19">
        <f>IFERROR(INDEX(#REF!,MATCH($A229,#REF!,0),COLUMNS($H$1:X$1)),"")</f>
      </c>
      <c r="Y229" s="19">
        <f>IFERROR(INDEX(#REF!,MATCH($A229,#REF!,0),COLUMNS($H$1:Y$1)),"")</f>
      </c>
      <c r="Z229" s="19">
        <f>IFERROR(INDEX(#REF!,MATCH($A229,#REF!,0),COLUMNS($H$1:Z$1)),"")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Strutture Caritative</vt:lpstr>
      <vt:lpstr>prodotti</vt:lpstr>
      <vt:lpstr>strutture_caritative_uno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2025-12-18T09:07:13.430Z</dcterms:created>
  <dcterms:modified xsi:type="dcterms:W3CDTF">2025-12-18T09:07:13.430Z</dcterms:modified>
</cp:coreProperties>
</file>